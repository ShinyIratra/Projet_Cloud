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" sheetId="1" r:id="rId5"/>
    <sheet state="visible" name="Feuille 1" sheetId="2" r:id="rId6"/>
    <sheet state="visible" name="recap" sheetId="3" r:id="rId7"/>
    <sheet state="visible" name="Avancement" sheetId="4" r:id="rId8"/>
    <sheet state="visible" name="detail_avancement" sheetId="5" r:id="rId9"/>
  </sheets>
  <definedNames>
    <definedName hidden="1" localSheetId="1" name="_xlnm._FilterDatabase">'Feuille 1'!$A$1:$L$62</definedName>
  </definedNames>
  <calcPr/>
</workbook>
</file>

<file path=xl/sharedStrings.xml><?xml version="1.0" encoding="utf-8"?>
<sst xmlns="http://schemas.openxmlformats.org/spreadsheetml/2006/main" count="474" uniqueCount="145">
  <si>
    <t>ETU</t>
  </si>
  <si>
    <t>Groupe</t>
  </si>
  <si>
    <t>Nom</t>
  </si>
  <si>
    <t>ETU003264</t>
  </si>
  <si>
    <t>B</t>
  </si>
  <si>
    <t>ANDRIATSARA Iratra Fernand</t>
  </si>
  <si>
    <t>ETU003332</t>
  </si>
  <si>
    <t>RANDRIANASOLO Tafita Fitia</t>
  </si>
  <si>
    <t>ETU001532</t>
  </si>
  <si>
    <t xml:space="preserve">ANDRIAMORIA Jennifer Kanto </t>
  </si>
  <si>
    <t>Ligne</t>
  </si>
  <si>
    <t>Catégorie</t>
  </si>
  <si>
    <t>Module</t>
  </si>
  <si>
    <t>Page</t>
  </si>
  <si>
    <t>Taches</t>
  </si>
  <si>
    <t>Type</t>
  </si>
  <si>
    <t>Description</t>
  </si>
  <si>
    <t>Qui</t>
  </si>
  <si>
    <t>Estimation</t>
  </si>
  <si>
    <t>Temps passé</t>
  </si>
  <si>
    <t>Reste à faire</t>
  </si>
  <si>
    <t>Avancement</t>
  </si>
  <si>
    <t>Conception</t>
  </si>
  <si>
    <t>Logistique</t>
  </si>
  <si>
    <t>Global</t>
  </si>
  <si>
    <t>Todo</t>
  </si>
  <si>
    <t>Répartition des tâches + Todo à faire</t>
  </si>
  <si>
    <t>ETU003264, ETU003332, ETU001532</t>
  </si>
  <si>
    <t>Setup</t>
  </si>
  <si>
    <t>Configuration du Projet Firebase</t>
  </si>
  <si>
    <t>ETU003332, ETU003264</t>
  </si>
  <si>
    <t>Globale</t>
  </si>
  <si>
    <t>Initialisation Github et Projet</t>
  </si>
  <si>
    <t>Module Carte</t>
  </si>
  <si>
    <t>Initialisation Environnement Docker</t>
  </si>
  <si>
    <t>Module Carte Offline</t>
  </si>
  <si>
    <t>Ajout</t>
  </si>
  <si>
    <t>Télécharger &amp; importer données OSM Antananarivo</t>
  </si>
  <si>
    <t>Test affichage des tiles depuis serveur local</t>
  </si>
  <si>
    <t>Documentation</t>
  </si>
  <si>
    <t>MCD final</t>
  </si>
  <si>
    <t>ETU003264, ETU003332</t>
  </si>
  <si>
    <t>Scénarios d’utilisation + captures d’écran</t>
  </si>
  <si>
    <t>ETU003264, ETU001532</t>
  </si>
  <si>
    <t>Liste des membres (Nom, Prénom, NumETU)</t>
  </si>
  <si>
    <t>Architecture technique</t>
  </si>
  <si>
    <t>Module Authentification</t>
  </si>
  <si>
    <t>Documentation API via Swagger</t>
  </si>
  <si>
    <t>Base de donnée</t>
  </si>
  <si>
    <t>Login</t>
  </si>
  <si>
    <t>Metier</t>
  </si>
  <si>
    <t>Configuration avec Firebase</t>
  </si>
  <si>
    <t>Conception des tables d'authentification et utilisateurs</t>
  </si>
  <si>
    <t>API</t>
  </si>
  <si>
    <t>Insertion des types (Visiteur, Utilisateur, Manager)</t>
  </si>
  <si>
    <t>Inscription</t>
  </si>
  <si>
    <t>Inscription des utilisateurs</t>
  </si>
  <si>
    <t>Modification</t>
  </si>
  <si>
    <t>Modification des informations utilisateurs</t>
  </si>
  <si>
    <t>Authentification des utilisateurs</t>
  </si>
  <si>
    <t>Utilisateur bloqué</t>
  </si>
  <si>
    <t>Réinitialisation du blocage</t>
  </si>
  <si>
    <t>Gestion de tentatives de connexion</t>
  </si>
  <si>
    <t>Blocage temporaire d'utilisateur si depassement de tentative</t>
  </si>
  <si>
    <t>Intégration</t>
  </si>
  <si>
    <t>Connexion via Firebase Auth</t>
  </si>
  <si>
    <t>Métier</t>
  </si>
  <si>
    <t>Tests unitaires Authentification</t>
  </si>
  <si>
    <t>Liste signalements</t>
  </si>
  <si>
    <t>Liste</t>
  </si>
  <si>
    <t>Liste données routiers filtrés</t>
  </si>
  <si>
    <t>Détail signalement</t>
  </si>
  <si>
    <t>Donnée problème par id</t>
  </si>
  <si>
    <t>Liste des signalements</t>
  </si>
  <si>
    <t>Module Mobile</t>
  </si>
  <si>
    <t>Formulaire signalement</t>
  </si>
  <si>
    <t>Signalement des problèmes routiers avec localisation</t>
  </si>
  <si>
    <t>Utilisateurs bloqués</t>
  </si>
  <si>
    <t>Liste personnes bloqués</t>
  </si>
  <si>
    <t>Module Web</t>
  </si>
  <si>
    <t>Synchronisation Firebase</t>
  </si>
  <si>
    <t>Synchronisation avec Firebase</t>
  </si>
  <si>
    <t>Débloquer les utilisateurs bloqués</t>
  </si>
  <si>
    <t>Gestion/Management</t>
  </si>
  <si>
    <t>Modification Statut Signalement</t>
  </si>
  <si>
    <t>Gestions des informations signalements</t>
  </si>
  <si>
    <t>Liste récapulatif</t>
  </si>
  <si>
    <t>Dashboard</t>
  </si>
  <si>
    <t>Endpoints statistiques GET /stats</t>
  </si>
  <si>
    <t>liste utilisateurs bloqués</t>
  </si>
  <si>
    <t>creation nouveau signalement</t>
  </si>
  <si>
    <t>Mobile</t>
  </si>
  <si>
    <t>Initialisation projet Mobile (Ionic/Vue)</t>
  </si>
  <si>
    <t xml:space="preserve">Build APK </t>
  </si>
  <si>
    <t>Login Mobile</t>
  </si>
  <si>
    <t>Authentification Firebase auth</t>
  </si>
  <si>
    <t>Home Mobile</t>
  </si>
  <si>
    <t>Carte mobile + tuiles Leaflet</t>
  </si>
  <si>
    <t>Géolocalisation GPS utilisateur</t>
  </si>
  <si>
    <t>Home</t>
  </si>
  <si>
    <t>Affichage</t>
  </si>
  <si>
    <t xml:space="preserve">Page signalement </t>
  </si>
  <si>
    <t>Page signalement</t>
  </si>
  <si>
    <t>Carte + Liste des problèmes routiers</t>
  </si>
  <si>
    <t>Formulaire Signalement</t>
  </si>
  <si>
    <t xml:space="preserve">Formulaire de signalement </t>
  </si>
  <si>
    <t>Carte avec markers depuis Firebase</t>
  </si>
  <si>
    <t>Tableau récapitulatif mobile</t>
  </si>
  <si>
    <t>Filtre « Mes signalements uniquement »</t>
  </si>
  <si>
    <t>Integration</t>
  </si>
  <si>
    <t>Debug problème de connexion au backend</t>
  </si>
  <si>
    <t>Web</t>
  </si>
  <si>
    <t>Liste signalements Mobile</t>
  </si>
  <si>
    <t>Setup projet Web (React)</t>
  </si>
  <si>
    <t>Design responsive (mobile / tablette / desktop)</t>
  </si>
  <si>
    <t>Page / formulaire de connexion</t>
  </si>
  <si>
    <t>Routing selon profils (Visiteur / Utilisateur / Manager)</t>
  </si>
  <si>
    <t>Creation formumlaire d'inscription</t>
  </si>
  <si>
    <t>Leaflet : affichage carte de base</t>
  </si>
  <si>
    <t>Connexion Leaflet au serveur offline</t>
  </si>
  <si>
    <t>affichage marquers signalements</t>
  </si>
  <si>
    <t>affichage details au survol</t>
  </si>
  <si>
    <t>Page récapitulatif</t>
  </si>
  <si>
    <t>Interface Dashboard Manager</t>
  </si>
  <si>
    <t>Detail Signalement</t>
  </si>
  <si>
    <t>Formulaire de gestion (surface, budget, entreprise)</t>
  </si>
  <si>
    <t>Bouton de synchronisation</t>
  </si>
  <si>
    <t>SUM de Estimation</t>
  </si>
  <si>
    <t>SUM de Temps passé</t>
  </si>
  <si>
    <t>SUM de Reste à faire</t>
  </si>
  <si>
    <t>Total général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</si>
  <si>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</si>
  <si>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</si>
  <si>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</si>
  <si>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</si>
  <si>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</si>
  <si>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</si>
  <si>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</si>
  <si>
    <t>19/1</t>
  </si>
  <si>
    <t>20/1</t>
  </si>
  <si>
    <t>21/1</t>
  </si>
  <si>
    <t>23/01</t>
  </si>
  <si>
    <t>25/01</t>
  </si>
  <si>
    <t>26/1</t>
  </si>
  <si>
    <t>27/1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</si>
</sst>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:ss"/>
    <numFmt numFmtId="165" formatCode="HH:mm:ss"/>
    <numFmt numFmtId="166" formatCode="d/m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theme="1"/>
      <name val="Arial"/>
    </font>
    <font>
      <sz val="8.0"/>
      <color theme="1"/>
      <name val="Arial"/>
    </font>
    <font>
      <color rgb="FF434343"/>
      <name val="Arial"/>
    </font>
    <font>
      <color rgb="FF434343"/>
      <name val="Roboto"/>
    </font>
    <font>
      <i/>
      <color theme="1"/>
      <name val="Arial"/>
    </font>
    <font>
      <b/>
      <color theme="1"/>
      <name val="Arial"/>
    </font>
    <font>
      <b/>
      <sz val="12.0"/>
      <color theme="1"/>
      <name val="Aptos Narrow"/>
    </font>
    <font>
      <sz val="12.0"/>
      <color theme="1"/>
      <name val="Aptos Narrow"/>
    </font>
    <font>
      <b/>
      <sz val="12.0"/>
      <color theme="1"/>
      <name val="Arial"/>
    </font>
    <font>
      <sz val="9.0"/>
      <color rgb="FFF7981D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4F6F8"/>
        <bgColor rgb="FFF4F6F8"/>
      </patternFill>
    </fill>
    <fill>
      <patternFill patternType="solid">
        <fgColor rgb="FFDFE4EC"/>
        <bgColor rgb="FFDFE4EC"/>
      </patternFill>
    </fill>
    <fill>
      <patternFill patternType="solid">
        <fgColor rgb="FF95DCF7"/>
        <bgColor rgb="FF95DCF7"/>
      </patternFill>
    </fill>
  </fills>
  <borders count="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</border>
    <border>
      <right style="thin">
        <color rgb="FFFFFFFF"/>
      </right>
    </border>
    <border>
      <top style="double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46" xfId="0" applyAlignment="1" applyFont="1" applyNumberFormat="1">
      <alignment readingOrder="0" shrinkToFit="0" vertical="center" wrapText="0"/>
    </xf>
    <xf borderId="1" fillId="2" fontId="5" numFmtId="46" xfId="0" applyAlignment="1" applyBorder="1" applyFill="1" applyFont="1" applyNumberFormat="1">
      <alignment horizontal="right" shrinkToFit="0" vertical="center" wrapText="0"/>
    </xf>
    <xf borderId="0" fillId="0" fontId="2" numFmtId="46" xfId="0" applyAlignment="1" applyFont="1" applyNumberFormat="1">
      <alignment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1" numFmtId="46" xfId="0" applyFont="1" applyNumberForma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3" fontId="5" numFmtId="46" xfId="0" applyAlignment="1" applyBorder="1" applyFill="1" applyFont="1" applyNumberFormat="1">
      <alignment horizontal="right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1" fillId="2" fontId="6" numFmtId="46" xfId="0" applyAlignment="1" applyBorder="1" applyFont="1" applyNumberFormat="1">
      <alignment horizontal="right" shrinkToFit="0" vertical="center" wrapText="0"/>
    </xf>
    <xf borderId="1" fillId="3" fontId="6" numFmtId="46" xfId="0" applyAlignment="1" applyBorder="1" applyFont="1" applyNumberFormat="1">
      <alignment horizontal="right" readingOrder="0" shrinkToFit="0" vertical="center" wrapText="0"/>
    </xf>
    <xf borderId="1" fillId="3" fontId="6" numFmtId="46" xfId="0" applyAlignment="1" applyBorder="1" applyFont="1" applyNumberFormat="1">
      <alignment horizontal="right" shrinkToFit="0" vertical="center" wrapText="0"/>
    </xf>
    <xf borderId="1" fillId="2" fontId="6" numFmtId="164" xfId="0" applyAlignment="1" applyBorder="1" applyFont="1" applyNumberFormat="1">
      <alignment horizontal="right" readingOrder="0" shrinkToFit="0" vertical="center" wrapText="0"/>
    </xf>
    <xf borderId="1" fillId="2" fontId="6" numFmtId="46" xfId="0" applyAlignment="1" applyBorder="1" applyFont="1" applyNumberForma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2" fillId="3" fontId="6" numFmtId="46" xfId="0" applyAlignment="1" applyBorder="1" applyFont="1" applyNumberFormat="1">
      <alignment horizontal="right" shrinkToFit="0" vertical="center" wrapText="0"/>
    </xf>
    <xf borderId="0" fillId="0" fontId="7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3" fillId="4" fontId="2" numFmtId="0" xfId="0" applyAlignment="1" applyBorder="1" applyFill="1" applyFont="1">
      <alignment readingOrder="0" shrinkToFit="0" vertical="bottom" wrapText="0"/>
    </xf>
    <xf borderId="0" fillId="0" fontId="1" numFmtId="46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bottom" wrapText="0"/>
    </xf>
    <xf borderId="4" fillId="5" fontId="8" numFmtId="0" xfId="0" applyAlignment="1" applyBorder="1" applyFill="1" applyFont="1">
      <alignment shrinkToFit="0" vertical="bottom" wrapText="0"/>
    </xf>
    <xf borderId="4" fillId="5" fontId="8" numFmtId="46" xfId="0" applyAlignment="1" applyBorder="1" applyFont="1" applyNumberFormat="1">
      <alignment horizontal="right" shrinkToFit="0" vertical="bottom" wrapText="0"/>
    </xf>
    <xf borderId="5" fillId="6" fontId="9" numFmtId="0" xfId="0" applyAlignment="1" applyBorder="1" applyFill="1" applyFont="1">
      <alignment vertical="bottom"/>
    </xf>
    <xf borderId="0" fillId="0" fontId="10" numFmtId="46" xfId="0" applyAlignment="1" applyFont="1" applyNumberForma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0" fontId="10" numFmtId="9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10" numFmtId="165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left" readingOrder="0" shrinkToFit="0" vertical="bottom" wrapText="0"/>
    </xf>
    <xf borderId="0" fillId="0" fontId="11" numFmtId="166" xfId="0" applyAlignment="1" applyFont="1" applyNumberFormat="1">
      <alignment horizontal="right" readingOrder="0" shrinkToFit="0" vertical="bottom" wrapText="0"/>
    </xf>
    <xf borderId="0" fillId="0" fontId="11" numFmtId="49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2" fontId="12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a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ail_avanceme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62" displayName="Todo" name="Todo" id="1">
  <autoFilter ref="$A$1:$L$62"/>
  <tableColumns count="12">
    <tableColumn name="Ligne" id="1"/>
    <tableColumn name="Catégorie" id="2"/>
    <tableColumn name="Module" id="3"/>
    <tableColumn name="Page" id="4"/>
    <tableColumn name="Taches" id="5"/>
    <tableColumn name="Type" id="6"/>
    <tableColumn name="Description" id="7"/>
    <tableColumn name="Qui" id="8"/>
    <tableColumn name="Estimation" id="9"/>
    <tableColumn name="Temps passé" id="10"/>
    <tableColumn name="Reste à faire" id="11"/>
    <tableColumn name="Avancement" id="12"/>
  </tableColumns>
  <tableStyleInfo name="Feuille 1-style" showColumnStripes="0" showFirstColumn="1" showLastColumn="1" showRowStripes="1"/>
</table>
</file>

<file path=xl/tables/table2.xml><?xml version="1.0" encoding="utf-8"?>
<table xmlns="http://schemas.openxmlformats.org/spreadsheetml/2006/main" ref="A1:D5" displayName="Tableau1" name="Tableau1" id="2">
  <tableColumns count="4">
    <tableColumn name="Qui" id="1"/>
    <tableColumn name="SUM de Estimation" id="2"/>
    <tableColumn name="SUM de Temps passé" id="3"/>
    <tableColumn name="SUM de Reste à faire" id="4"/>
  </tableColumns>
  <tableStyleInfo name="recap-style" showColumnStripes="0" showFirstColumn="1" showLastColumn="1" showRowStripes="1"/>
</table>
</file>

<file path=xl/tables/table3.xml><?xml version="1.0" encoding="utf-8"?>
<table xmlns="http://schemas.openxmlformats.org/spreadsheetml/2006/main" ref="A1:I62" displayName="Detail_Avancement" name="Detail_Avancement" id="3">
  <tableColumns count="9">
    <tableColumn name="Ligne" id="1"/>
    <tableColumn name="Total" id="2"/>
    <tableColumn name="19/1" id="3"/>
    <tableColumn name="20/1" id="4"/>
    <tableColumn name="21/1" id="5"/>
    <tableColumn name="23/01" id="6"/>
    <tableColumn name="25/01" id="7"/>
    <tableColumn name="26/1" id="8"/>
    <tableColumn name="27/1" id="9"/>
  </tableColumns>
  <tableStyleInfo name="detail_avance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1" t="s">
        <v>5</v>
      </c>
    </row>
    <row r="3">
      <c r="A3" s="2" t="s">
        <v>6</v>
      </c>
      <c r="B3" s="3" t="s">
        <v>4</v>
      </c>
      <c r="C3" s="1" t="s">
        <v>7</v>
      </c>
    </row>
    <row r="4">
      <c r="A4" s="2" t="s">
        <v>8</v>
      </c>
      <c r="B4" s="2" t="s">
        <v>4</v>
      </c>
      <c r="C4" s="1" t="s">
        <v>9</v>
      </c>
    </row>
    <row r="5">
      <c r="A5" s="3"/>
      <c r="B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0"/>
    <col customWidth="1" min="4" max="4" width="21.13"/>
    <col customWidth="1" min="5" max="5" width="23.75"/>
    <col customWidth="1" min="6" max="6" width="17.75"/>
    <col customWidth="1" min="7" max="7" width="43.25"/>
    <col customWidth="1" min="8" max="8" width="36.5"/>
    <col customWidth="1" min="9" max="9" width="16.5"/>
    <col customWidth="1" min="10" max="10" width="15.75"/>
    <col customWidth="1" min="11" max="11" width="14.13"/>
  </cols>
  <sheetData>
    <row r="1" ht="22.5" customHeight="1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</row>
    <row r="2" ht="22.5" customHeight="1">
      <c r="A2" s="5">
        <v>1.0</v>
      </c>
      <c r="B2" s="6" t="s">
        <v>22</v>
      </c>
      <c r="C2" s="7" t="s">
        <v>23</v>
      </c>
      <c r="D2" s="8" t="s">
        <v>24</v>
      </c>
      <c r="E2" s="8" t="s">
        <v>24</v>
      </c>
      <c r="F2" s="8" t="s">
        <v>25</v>
      </c>
      <c r="G2" s="8" t="s">
        <v>26</v>
      </c>
      <c r="H2" s="5" t="s">
        <v>27</v>
      </c>
      <c r="I2" s="9">
        <v>0.08333333333333333</v>
      </c>
      <c r="J2" s="10">
        <v>0.08333333333333333</v>
      </c>
      <c r="K2" s="11">
        <f t="shared" ref="K2:K54" si="1">I2-J2</f>
        <v>0</v>
      </c>
      <c r="L2" s="12">
        <f t="shared" ref="L2:L62" si="2">((J2)/(K2+J2))</f>
        <v>1</v>
      </c>
      <c r="N2" s="13"/>
    </row>
    <row r="3" ht="22.5" customHeight="1">
      <c r="A3" s="8">
        <v>2.0</v>
      </c>
      <c r="B3" s="14" t="s">
        <v>22</v>
      </c>
      <c r="C3" s="14" t="s">
        <v>23</v>
      </c>
      <c r="D3" s="8" t="s">
        <v>24</v>
      </c>
      <c r="E3" s="8" t="s">
        <v>24</v>
      </c>
      <c r="F3" s="8" t="s">
        <v>28</v>
      </c>
      <c r="G3" s="8" t="s">
        <v>29</v>
      </c>
      <c r="H3" s="15" t="s">
        <v>30</v>
      </c>
      <c r="I3" s="9">
        <v>0.041666666666666664</v>
      </c>
      <c r="J3" s="16">
        <v>0.041666666666666664</v>
      </c>
      <c r="K3" s="11">
        <f t="shared" si="1"/>
        <v>0</v>
      </c>
      <c r="L3" s="12">
        <f t="shared" si="2"/>
        <v>1</v>
      </c>
    </row>
    <row r="4" ht="22.5" customHeight="1">
      <c r="A4" s="5">
        <v>3.0</v>
      </c>
      <c r="B4" s="14" t="s">
        <v>22</v>
      </c>
      <c r="C4" s="14" t="s">
        <v>23</v>
      </c>
      <c r="D4" s="8" t="s">
        <v>24</v>
      </c>
      <c r="E4" s="8" t="s">
        <v>31</v>
      </c>
      <c r="F4" s="8" t="s">
        <v>31</v>
      </c>
      <c r="G4" s="8" t="s">
        <v>32</v>
      </c>
      <c r="H4" s="15" t="s">
        <v>27</v>
      </c>
      <c r="I4" s="17">
        <v>0.013888888888888888</v>
      </c>
      <c r="J4" s="18">
        <v>0.013888888888888888</v>
      </c>
      <c r="K4" s="11">
        <f t="shared" si="1"/>
        <v>0</v>
      </c>
      <c r="L4" s="12">
        <f t="shared" si="2"/>
        <v>1</v>
      </c>
    </row>
    <row r="5" ht="22.5" customHeight="1">
      <c r="A5" s="8">
        <v>4.0</v>
      </c>
      <c r="B5" s="14" t="s">
        <v>22</v>
      </c>
      <c r="C5" s="14" t="s">
        <v>33</v>
      </c>
      <c r="D5" s="8" t="s">
        <v>24</v>
      </c>
      <c r="E5" s="8" t="s">
        <v>31</v>
      </c>
      <c r="F5" s="8" t="s">
        <v>28</v>
      </c>
      <c r="G5" s="8" t="s">
        <v>34</v>
      </c>
      <c r="H5" s="15" t="s">
        <v>8</v>
      </c>
      <c r="I5" s="17">
        <v>0.027777777777777776</v>
      </c>
      <c r="J5" s="19">
        <v>0.027777777777777776</v>
      </c>
      <c r="K5" s="11">
        <f t="shared" si="1"/>
        <v>0</v>
      </c>
      <c r="L5" s="12">
        <f t="shared" si="2"/>
        <v>1</v>
      </c>
    </row>
    <row r="6" ht="22.5" customHeight="1">
      <c r="A6" s="5">
        <v>5.0</v>
      </c>
      <c r="B6" s="14" t="s">
        <v>22</v>
      </c>
      <c r="C6" s="14" t="s">
        <v>33</v>
      </c>
      <c r="D6" s="8" t="s">
        <v>35</v>
      </c>
      <c r="E6" s="8" t="s">
        <v>36</v>
      </c>
      <c r="F6" s="8" t="s">
        <v>28</v>
      </c>
      <c r="G6" s="8" t="s">
        <v>37</v>
      </c>
      <c r="H6" s="15" t="s">
        <v>8</v>
      </c>
      <c r="I6" s="17">
        <v>0.041666666666666664</v>
      </c>
      <c r="J6" s="18">
        <v>0.041666666666666664</v>
      </c>
      <c r="K6" s="11">
        <f t="shared" si="1"/>
        <v>0</v>
      </c>
      <c r="L6" s="12">
        <f t="shared" si="2"/>
        <v>1</v>
      </c>
    </row>
    <row r="7" ht="22.5" customHeight="1">
      <c r="A7" s="8">
        <v>6.0</v>
      </c>
      <c r="B7" s="14" t="s">
        <v>22</v>
      </c>
      <c r="C7" s="14" t="s">
        <v>33</v>
      </c>
      <c r="D7" s="8" t="s">
        <v>35</v>
      </c>
      <c r="E7" s="8" t="s">
        <v>31</v>
      </c>
      <c r="F7" s="8" t="s">
        <v>25</v>
      </c>
      <c r="G7" s="8" t="s">
        <v>38</v>
      </c>
      <c r="H7" s="15" t="s">
        <v>8</v>
      </c>
      <c r="I7" s="17">
        <v>0.08333333333333333</v>
      </c>
      <c r="J7" s="20">
        <v>0.08333333333333333</v>
      </c>
      <c r="K7" s="11">
        <f t="shared" si="1"/>
        <v>0</v>
      </c>
      <c r="L7" s="12">
        <f t="shared" si="2"/>
        <v>1</v>
      </c>
    </row>
    <row r="8" ht="22.5" customHeight="1">
      <c r="A8" s="5">
        <v>7.0</v>
      </c>
      <c r="B8" s="14" t="s">
        <v>39</v>
      </c>
      <c r="C8" s="14" t="s">
        <v>23</v>
      </c>
      <c r="D8" s="8" t="s">
        <v>24</v>
      </c>
      <c r="E8" s="8" t="s">
        <v>31</v>
      </c>
      <c r="F8" s="8" t="s">
        <v>39</v>
      </c>
      <c r="G8" s="8" t="s">
        <v>40</v>
      </c>
      <c r="H8" s="15" t="s">
        <v>41</v>
      </c>
      <c r="I8" s="17">
        <v>0.041666666666666664</v>
      </c>
      <c r="J8" s="18">
        <v>0.041666666666666664</v>
      </c>
      <c r="K8" s="11">
        <f t="shared" si="1"/>
        <v>0</v>
      </c>
      <c r="L8" s="12">
        <f t="shared" si="2"/>
        <v>1</v>
      </c>
    </row>
    <row r="9" ht="22.5" customHeight="1">
      <c r="A9" s="8">
        <v>8.0</v>
      </c>
      <c r="B9" s="14" t="s">
        <v>39</v>
      </c>
      <c r="C9" s="14" t="s">
        <v>23</v>
      </c>
      <c r="D9" s="8" t="s">
        <v>24</v>
      </c>
      <c r="E9" s="8" t="s">
        <v>31</v>
      </c>
      <c r="F9" s="8" t="s">
        <v>39</v>
      </c>
      <c r="G9" s="8" t="s">
        <v>42</v>
      </c>
      <c r="H9" s="15" t="s">
        <v>43</v>
      </c>
      <c r="I9" s="17">
        <v>0.0625</v>
      </c>
      <c r="J9" s="19">
        <v>0.0625</v>
      </c>
      <c r="K9" s="11">
        <f t="shared" si="1"/>
        <v>0</v>
      </c>
      <c r="L9" s="12">
        <f t="shared" si="2"/>
        <v>1</v>
      </c>
    </row>
    <row r="10" ht="22.5" customHeight="1">
      <c r="A10" s="5">
        <v>9.0</v>
      </c>
      <c r="B10" s="14" t="s">
        <v>39</v>
      </c>
      <c r="C10" s="14" t="s">
        <v>23</v>
      </c>
      <c r="D10" s="8" t="s">
        <v>24</v>
      </c>
      <c r="E10" s="8" t="s">
        <v>31</v>
      </c>
      <c r="F10" s="8" t="s">
        <v>39</v>
      </c>
      <c r="G10" s="8" t="s">
        <v>44</v>
      </c>
      <c r="H10" s="15" t="s">
        <v>8</v>
      </c>
      <c r="I10" s="17">
        <v>0.003472222222222222</v>
      </c>
      <c r="J10" s="18">
        <v>0.003472222222222222</v>
      </c>
      <c r="K10" s="11">
        <f t="shared" si="1"/>
        <v>0</v>
      </c>
      <c r="L10" s="12">
        <f t="shared" si="2"/>
        <v>1</v>
      </c>
    </row>
    <row r="11" ht="22.5" customHeight="1">
      <c r="A11" s="8">
        <v>10.0</v>
      </c>
      <c r="B11" s="14" t="s">
        <v>39</v>
      </c>
      <c r="C11" s="14" t="s">
        <v>23</v>
      </c>
      <c r="D11" s="8" t="s">
        <v>24</v>
      </c>
      <c r="E11" s="8" t="s">
        <v>31</v>
      </c>
      <c r="F11" s="8" t="s">
        <v>39</v>
      </c>
      <c r="G11" s="8" t="s">
        <v>45</v>
      </c>
      <c r="H11" s="15" t="s">
        <v>8</v>
      </c>
      <c r="I11" s="17">
        <v>0.041666666666666664</v>
      </c>
      <c r="J11" s="20">
        <v>0.041666666666666664</v>
      </c>
      <c r="K11" s="11">
        <f t="shared" si="1"/>
        <v>0</v>
      </c>
      <c r="L11" s="12">
        <f t="shared" si="2"/>
        <v>1</v>
      </c>
    </row>
    <row r="12" ht="22.5" customHeight="1">
      <c r="A12" s="5">
        <v>11.0</v>
      </c>
      <c r="B12" s="14" t="s">
        <v>39</v>
      </c>
      <c r="C12" s="14" t="s">
        <v>46</v>
      </c>
      <c r="D12" s="8" t="s">
        <v>24</v>
      </c>
      <c r="E12" s="8" t="s">
        <v>24</v>
      </c>
      <c r="F12" s="8" t="s">
        <v>39</v>
      </c>
      <c r="G12" s="8" t="s">
        <v>47</v>
      </c>
      <c r="H12" s="15" t="s">
        <v>30</v>
      </c>
      <c r="I12" s="17">
        <v>0.041666666666666664</v>
      </c>
      <c r="J12" s="18">
        <v>0.041666666666666664</v>
      </c>
      <c r="K12" s="11">
        <f t="shared" si="1"/>
        <v>0</v>
      </c>
      <c r="L12" s="12">
        <f t="shared" si="2"/>
        <v>1</v>
      </c>
    </row>
    <row r="13" ht="22.5" customHeight="1">
      <c r="A13" s="8">
        <v>12.0</v>
      </c>
      <c r="B13" s="14" t="s">
        <v>48</v>
      </c>
      <c r="C13" s="14" t="s">
        <v>46</v>
      </c>
      <c r="D13" s="8" t="s">
        <v>49</v>
      </c>
      <c r="E13" s="8" t="s">
        <v>24</v>
      </c>
      <c r="F13" s="8" t="s">
        <v>50</v>
      </c>
      <c r="G13" s="8" t="s">
        <v>51</v>
      </c>
      <c r="H13" s="15" t="s">
        <v>41</v>
      </c>
      <c r="I13" s="9">
        <v>0.020833333333333332</v>
      </c>
      <c r="J13" s="16">
        <v>0.020833333333333332</v>
      </c>
      <c r="K13" s="11">
        <f t="shared" si="1"/>
        <v>0</v>
      </c>
      <c r="L13" s="12">
        <f t="shared" si="2"/>
        <v>1</v>
      </c>
    </row>
    <row r="14" ht="22.5" customHeight="1">
      <c r="A14" s="5">
        <v>13.0</v>
      </c>
      <c r="B14" s="14" t="s">
        <v>48</v>
      </c>
      <c r="C14" s="14" t="s">
        <v>46</v>
      </c>
      <c r="D14" s="8" t="s">
        <v>49</v>
      </c>
      <c r="E14" s="8" t="s">
        <v>24</v>
      </c>
      <c r="F14" s="8" t="s">
        <v>50</v>
      </c>
      <c r="G14" s="8" t="s">
        <v>52</v>
      </c>
      <c r="H14" s="15" t="s">
        <v>41</v>
      </c>
      <c r="I14" s="17">
        <v>0.020833333333333332</v>
      </c>
      <c r="J14" s="18">
        <v>0.020833333333333332</v>
      </c>
      <c r="K14" s="11">
        <f t="shared" si="1"/>
        <v>0</v>
      </c>
      <c r="L14" s="12">
        <f t="shared" si="2"/>
        <v>1</v>
      </c>
    </row>
    <row r="15" ht="22.5" customHeight="1">
      <c r="A15" s="8">
        <v>14.0</v>
      </c>
      <c r="B15" s="14" t="s">
        <v>53</v>
      </c>
      <c r="C15" s="14" t="s">
        <v>46</v>
      </c>
      <c r="D15" s="8" t="s">
        <v>49</v>
      </c>
      <c r="E15" s="8" t="s">
        <v>36</v>
      </c>
      <c r="F15" s="8" t="s">
        <v>50</v>
      </c>
      <c r="G15" s="8" t="s">
        <v>54</v>
      </c>
      <c r="H15" s="15" t="s">
        <v>3</v>
      </c>
      <c r="I15" s="17">
        <v>0.003472222222222222</v>
      </c>
      <c r="J15" s="20">
        <v>0.003472222222222222</v>
      </c>
      <c r="K15" s="11">
        <f t="shared" si="1"/>
        <v>0</v>
      </c>
      <c r="L15" s="12">
        <f t="shared" si="2"/>
        <v>1</v>
      </c>
    </row>
    <row r="16" ht="22.5" customHeight="1">
      <c r="A16" s="5">
        <v>15.0</v>
      </c>
      <c r="B16" s="14" t="s">
        <v>53</v>
      </c>
      <c r="C16" s="14" t="s">
        <v>46</v>
      </c>
      <c r="D16" s="8" t="s">
        <v>55</v>
      </c>
      <c r="E16" s="8" t="s">
        <v>36</v>
      </c>
      <c r="F16" s="8" t="s">
        <v>50</v>
      </c>
      <c r="G16" s="8" t="s">
        <v>56</v>
      </c>
      <c r="H16" s="15" t="s">
        <v>6</v>
      </c>
      <c r="I16" s="17">
        <v>0.020833333333333332</v>
      </c>
      <c r="J16" s="21">
        <v>0.020833333333333332</v>
      </c>
      <c r="K16" s="11">
        <f t="shared" si="1"/>
        <v>0</v>
      </c>
      <c r="L16" s="12">
        <f t="shared" si="2"/>
        <v>1</v>
      </c>
    </row>
    <row r="17" ht="22.5" customHeight="1">
      <c r="A17" s="8">
        <v>16.0</v>
      </c>
      <c r="B17" s="14" t="s">
        <v>53</v>
      </c>
      <c r="C17" s="14" t="s">
        <v>46</v>
      </c>
      <c r="D17" s="8" t="s">
        <v>55</v>
      </c>
      <c r="E17" s="8" t="s">
        <v>57</v>
      </c>
      <c r="F17" s="8" t="s">
        <v>50</v>
      </c>
      <c r="G17" s="8" t="s">
        <v>58</v>
      </c>
      <c r="H17" s="15" t="s">
        <v>3</v>
      </c>
      <c r="I17" s="17">
        <v>0.03125</v>
      </c>
      <c r="J17" s="20">
        <v>0.03125</v>
      </c>
      <c r="K17" s="11">
        <f t="shared" si="1"/>
        <v>0</v>
      </c>
      <c r="L17" s="12">
        <f t="shared" si="2"/>
        <v>1</v>
      </c>
    </row>
    <row r="18" ht="22.5" customHeight="1">
      <c r="A18" s="5">
        <v>17.0</v>
      </c>
      <c r="B18" s="14" t="s">
        <v>53</v>
      </c>
      <c r="C18" s="14" t="s">
        <v>46</v>
      </c>
      <c r="D18" s="8" t="s">
        <v>49</v>
      </c>
      <c r="E18" s="8" t="s">
        <v>24</v>
      </c>
      <c r="F18" s="8" t="s">
        <v>50</v>
      </c>
      <c r="G18" s="8" t="s">
        <v>59</v>
      </c>
      <c r="H18" s="15" t="s">
        <v>6</v>
      </c>
      <c r="I18" s="17">
        <v>0.03125</v>
      </c>
      <c r="J18" s="18">
        <v>0.03125</v>
      </c>
      <c r="K18" s="11">
        <f t="shared" si="1"/>
        <v>0</v>
      </c>
      <c r="L18" s="12">
        <f t="shared" si="2"/>
        <v>1</v>
      </c>
    </row>
    <row r="19" ht="22.5" customHeight="1">
      <c r="A19" s="8">
        <v>18.0</v>
      </c>
      <c r="B19" s="14" t="s">
        <v>53</v>
      </c>
      <c r="C19" s="14" t="s">
        <v>46</v>
      </c>
      <c r="D19" s="8" t="s">
        <v>60</v>
      </c>
      <c r="E19" s="8" t="s">
        <v>36</v>
      </c>
      <c r="F19" s="8" t="s">
        <v>50</v>
      </c>
      <c r="G19" s="8" t="s">
        <v>61</v>
      </c>
      <c r="H19" s="15" t="s">
        <v>3</v>
      </c>
      <c r="I19" s="17">
        <v>0.03125</v>
      </c>
      <c r="J19" s="20">
        <v>0.03125</v>
      </c>
      <c r="K19" s="11">
        <f t="shared" si="1"/>
        <v>0</v>
      </c>
      <c r="L19" s="12">
        <f t="shared" si="2"/>
        <v>1</v>
      </c>
    </row>
    <row r="20" ht="22.5" customHeight="1">
      <c r="A20" s="5">
        <v>19.0</v>
      </c>
      <c r="B20" s="14" t="s">
        <v>53</v>
      </c>
      <c r="C20" s="14" t="s">
        <v>46</v>
      </c>
      <c r="D20" s="8" t="s">
        <v>49</v>
      </c>
      <c r="E20" s="8" t="s">
        <v>24</v>
      </c>
      <c r="F20" s="8" t="s">
        <v>50</v>
      </c>
      <c r="G20" s="8" t="s">
        <v>62</v>
      </c>
      <c r="H20" s="15" t="s">
        <v>3</v>
      </c>
      <c r="I20" s="17">
        <v>0.041666666666666664</v>
      </c>
      <c r="J20" s="18">
        <v>0.041666666666666664</v>
      </c>
      <c r="K20" s="11">
        <f t="shared" si="1"/>
        <v>0</v>
      </c>
      <c r="L20" s="12">
        <f t="shared" si="2"/>
        <v>1</v>
      </c>
    </row>
    <row r="21" ht="22.5" customHeight="1">
      <c r="A21" s="8">
        <v>20.0</v>
      </c>
      <c r="B21" s="14" t="s">
        <v>53</v>
      </c>
      <c r="C21" s="14" t="s">
        <v>46</v>
      </c>
      <c r="D21" s="8" t="s">
        <v>49</v>
      </c>
      <c r="E21" s="8" t="s">
        <v>24</v>
      </c>
      <c r="F21" s="8" t="s">
        <v>50</v>
      </c>
      <c r="G21" s="8" t="s">
        <v>63</v>
      </c>
      <c r="H21" s="15" t="s">
        <v>3</v>
      </c>
      <c r="I21" s="17">
        <v>0.0625</v>
      </c>
      <c r="J21" s="20">
        <v>0.0625</v>
      </c>
      <c r="K21" s="11">
        <f t="shared" si="1"/>
        <v>0</v>
      </c>
      <c r="L21" s="12">
        <f t="shared" si="2"/>
        <v>1</v>
      </c>
    </row>
    <row r="22" ht="22.5" customHeight="1">
      <c r="A22" s="5">
        <v>21.0</v>
      </c>
      <c r="B22" s="14" t="s">
        <v>53</v>
      </c>
      <c r="C22" s="14" t="s">
        <v>46</v>
      </c>
      <c r="D22" s="8" t="s">
        <v>49</v>
      </c>
      <c r="E22" s="8" t="s">
        <v>36</v>
      </c>
      <c r="F22" s="8" t="s">
        <v>64</v>
      </c>
      <c r="G22" s="8" t="s">
        <v>65</v>
      </c>
      <c r="H22" s="15" t="s">
        <v>6</v>
      </c>
      <c r="I22" s="17">
        <v>0.041666666666666664</v>
      </c>
      <c r="J22" s="18">
        <v>0.041666666666666664</v>
      </c>
      <c r="K22" s="11">
        <f t="shared" si="1"/>
        <v>0</v>
      </c>
      <c r="L22" s="12">
        <f t="shared" si="2"/>
        <v>1</v>
      </c>
    </row>
    <row r="23" ht="22.5" customHeight="1">
      <c r="A23" s="8">
        <v>22.0</v>
      </c>
      <c r="B23" s="14" t="s">
        <v>53</v>
      </c>
      <c r="C23" s="14" t="s">
        <v>46</v>
      </c>
      <c r="D23" s="8" t="s">
        <v>49</v>
      </c>
      <c r="E23" s="8" t="s">
        <v>31</v>
      </c>
      <c r="F23" s="8" t="s">
        <v>66</v>
      </c>
      <c r="G23" s="8" t="s">
        <v>67</v>
      </c>
      <c r="H23" s="15" t="s">
        <v>30</v>
      </c>
      <c r="I23" s="17">
        <v>0.041666666666666664</v>
      </c>
      <c r="J23" s="20">
        <v>0.041666666666666664</v>
      </c>
      <c r="K23" s="11">
        <f t="shared" si="1"/>
        <v>0</v>
      </c>
      <c r="L23" s="12">
        <f t="shared" si="2"/>
        <v>1</v>
      </c>
    </row>
    <row r="24" ht="22.5" customHeight="1">
      <c r="A24" s="5">
        <v>23.0</v>
      </c>
      <c r="B24" s="14" t="s">
        <v>53</v>
      </c>
      <c r="C24" s="14" t="s">
        <v>33</v>
      </c>
      <c r="D24" s="8" t="s">
        <v>68</v>
      </c>
      <c r="E24" s="8" t="s">
        <v>69</v>
      </c>
      <c r="F24" s="8" t="s">
        <v>50</v>
      </c>
      <c r="G24" s="8" t="s">
        <v>70</v>
      </c>
      <c r="H24" s="15" t="s">
        <v>8</v>
      </c>
      <c r="I24" s="17">
        <v>0.020833333333333332</v>
      </c>
      <c r="J24" s="18">
        <v>0.020833333333333332</v>
      </c>
      <c r="K24" s="11">
        <f t="shared" si="1"/>
        <v>0</v>
      </c>
      <c r="L24" s="12">
        <f t="shared" si="2"/>
        <v>1</v>
      </c>
    </row>
    <row r="25" ht="22.5" customHeight="1">
      <c r="A25" s="8">
        <v>24.0</v>
      </c>
      <c r="B25" s="14" t="s">
        <v>53</v>
      </c>
      <c r="C25" s="14" t="s">
        <v>33</v>
      </c>
      <c r="D25" s="8" t="s">
        <v>71</v>
      </c>
      <c r="E25" s="8" t="s">
        <v>69</v>
      </c>
      <c r="F25" s="8" t="s">
        <v>50</v>
      </c>
      <c r="G25" s="8" t="s">
        <v>72</v>
      </c>
      <c r="H25" s="15" t="s">
        <v>8</v>
      </c>
      <c r="I25" s="17">
        <v>0.03125</v>
      </c>
      <c r="J25" s="20">
        <v>0.03125</v>
      </c>
      <c r="K25" s="11">
        <f t="shared" si="1"/>
        <v>0</v>
      </c>
      <c r="L25" s="12">
        <f t="shared" si="2"/>
        <v>1</v>
      </c>
    </row>
    <row r="26" ht="22.5" customHeight="1">
      <c r="A26" s="5">
        <v>25.0</v>
      </c>
      <c r="B26" s="14" t="s">
        <v>53</v>
      </c>
      <c r="C26" s="14" t="s">
        <v>33</v>
      </c>
      <c r="D26" s="8" t="s">
        <v>68</v>
      </c>
      <c r="E26" s="8" t="s">
        <v>69</v>
      </c>
      <c r="F26" s="8" t="s">
        <v>50</v>
      </c>
      <c r="G26" s="8" t="s">
        <v>73</v>
      </c>
      <c r="H26" s="15" t="s">
        <v>8</v>
      </c>
      <c r="I26" s="17">
        <v>0.020833333333333332</v>
      </c>
      <c r="J26" s="18">
        <v>0.020833333333333332</v>
      </c>
      <c r="K26" s="11">
        <f t="shared" si="1"/>
        <v>0</v>
      </c>
      <c r="L26" s="12">
        <f t="shared" si="2"/>
        <v>1</v>
      </c>
    </row>
    <row r="27" ht="22.5" customHeight="1">
      <c r="A27" s="8">
        <v>26.0</v>
      </c>
      <c r="B27" s="14" t="s">
        <v>53</v>
      </c>
      <c r="C27" s="14" t="s">
        <v>74</v>
      </c>
      <c r="D27" s="8" t="s">
        <v>75</v>
      </c>
      <c r="E27" s="8" t="s">
        <v>36</v>
      </c>
      <c r="F27" s="8" t="s">
        <v>50</v>
      </c>
      <c r="G27" s="8" t="s">
        <v>76</v>
      </c>
      <c r="H27" s="15" t="s">
        <v>3</v>
      </c>
      <c r="I27" s="17">
        <v>0.041666666666666664</v>
      </c>
      <c r="J27" s="20">
        <v>0.041666666666666664</v>
      </c>
      <c r="K27" s="11">
        <f t="shared" si="1"/>
        <v>0</v>
      </c>
      <c r="L27" s="12">
        <f t="shared" si="2"/>
        <v>1</v>
      </c>
    </row>
    <row r="28" ht="22.5" customHeight="1">
      <c r="A28" s="5">
        <v>27.0</v>
      </c>
      <c r="B28" s="14" t="s">
        <v>53</v>
      </c>
      <c r="C28" s="14" t="s">
        <v>74</v>
      </c>
      <c r="D28" s="8" t="s">
        <v>77</v>
      </c>
      <c r="E28" s="8" t="s">
        <v>69</v>
      </c>
      <c r="F28" s="8" t="s">
        <v>50</v>
      </c>
      <c r="G28" s="8" t="s">
        <v>78</v>
      </c>
      <c r="H28" s="15" t="s">
        <v>3</v>
      </c>
      <c r="I28" s="17">
        <v>0.041666666666666664</v>
      </c>
      <c r="J28" s="18">
        <v>0.041666666666666664</v>
      </c>
      <c r="K28" s="11">
        <f t="shared" si="1"/>
        <v>0</v>
      </c>
      <c r="L28" s="12">
        <f t="shared" si="2"/>
        <v>1</v>
      </c>
    </row>
    <row r="29" ht="22.5" customHeight="1">
      <c r="A29" s="8">
        <v>28.0</v>
      </c>
      <c r="B29" s="14" t="s">
        <v>53</v>
      </c>
      <c r="C29" s="14" t="s">
        <v>79</v>
      </c>
      <c r="D29" s="8" t="s">
        <v>80</v>
      </c>
      <c r="E29" s="8" t="s">
        <v>24</v>
      </c>
      <c r="F29" s="8" t="s">
        <v>50</v>
      </c>
      <c r="G29" s="8" t="s">
        <v>81</v>
      </c>
      <c r="H29" s="15" t="s">
        <v>6</v>
      </c>
      <c r="I29" s="17">
        <v>0.041666666666666664</v>
      </c>
      <c r="J29" s="20">
        <v>0.041666666666666664</v>
      </c>
      <c r="K29" s="11">
        <f t="shared" si="1"/>
        <v>0</v>
      </c>
      <c r="L29" s="12">
        <f t="shared" si="2"/>
        <v>1</v>
      </c>
    </row>
    <row r="30" ht="22.5" customHeight="1">
      <c r="A30" s="5">
        <v>29.0</v>
      </c>
      <c r="B30" s="14" t="s">
        <v>53</v>
      </c>
      <c r="C30" s="14" t="s">
        <v>79</v>
      </c>
      <c r="D30" s="8" t="s">
        <v>77</v>
      </c>
      <c r="E30" s="8" t="s">
        <v>36</v>
      </c>
      <c r="F30" s="8" t="s">
        <v>50</v>
      </c>
      <c r="G30" s="8" t="s">
        <v>82</v>
      </c>
      <c r="H30" s="15" t="s">
        <v>6</v>
      </c>
      <c r="I30" s="17">
        <v>0.041666666666666664</v>
      </c>
      <c r="J30" s="18">
        <v>0.041666666666666664</v>
      </c>
      <c r="K30" s="11">
        <f t="shared" si="1"/>
        <v>0</v>
      </c>
      <c r="L30" s="12">
        <f t="shared" si="2"/>
        <v>1</v>
      </c>
    </row>
    <row r="31" ht="22.5" customHeight="1">
      <c r="A31" s="8">
        <v>30.0</v>
      </c>
      <c r="B31" s="14" t="s">
        <v>53</v>
      </c>
      <c r="C31" s="14" t="s">
        <v>79</v>
      </c>
      <c r="D31" s="8" t="s">
        <v>83</v>
      </c>
      <c r="E31" s="8" t="s">
        <v>57</v>
      </c>
      <c r="F31" s="8" t="s">
        <v>50</v>
      </c>
      <c r="G31" s="8" t="s">
        <v>84</v>
      </c>
      <c r="H31" s="15" t="s">
        <v>6</v>
      </c>
      <c r="I31" s="17">
        <v>0.020833333333333332</v>
      </c>
      <c r="J31" s="20">
        <v>0.020833333333333332</v>
      </c>
      <c r="K31" s="11">
        <f t="shared" si="1"/>
        <v>0</v>
      </c>
      <c r="L31" s="12">
        <f t="shared" si="2"/>
        <v>1</v>
      </c>
    </row>
    <row r="32" ht="22.5" customHeight="1">
      <c r="A32" s="5">
        <v>31.0</v>
      </c>
      <c r="B32" s="14" t="s">
        <v>53</v>
      </c>
      <c r="C32" s="14" t="s">
        <v>79</v>
      </c>
      <c r="D32" s="8" t="s">
        <v>83</v>
      </c>
      <c r="E32" s="8" t="s">
        <v>57</v>
      </c>
      <c r="F32" s="8" t="s">
        <v>50</v>
      </c>
      <c r="G32" s="8" t="s">
        <v>85</v>
      </c>
      <c r="H32" s="15" t="s">
        <v>6</v>
      </c>
      <c r="I32" s="17">
        <v>0.03125</v>
      </c>
      <c r="J32" s="18">
        <v>0.03125</v>
      </c>
      <c r="K32" s="11">
        <f t="shared" si="1"/>
        <v>0</v>
      </c>
      <c r="L32" s="12">
        <f t="shared" si="2"/>
        <v>1</v>
      </c>
    </row>
    <row r="33" ht="22.5" customHeight="1">
      <c r="A33" s="8">
        <v>32.0</v>
      </c>
      <c r="B33" s="14" t="s">
        <v>53</v>
      </c>
      <c r="C33" s="14" t="s">
        <v>79</v>
      </c>
      <c r="D33" s="8" t="s">
        <v>68</v>
      </c>
      <c r="E33" s="8" t="s">
        <v>69</v>
      </c>
      <c r="F33" s="8" t="s">
        <v>50</v>
      </c>
      <c r="G33" s="8" t="s">
        <v>86</v>
      </c>
      <c r="H33" s="15" t="s">
        <v>6</v>
      </c>
      <c r="I33" s="17">
        <v>0.041666666666666664</v>
      </c>
      <c r="J33" s="20">
        <v>0.041666666666666664</v>
      </c>
      <c r="K33" s="11">
        <f t="shared" si="1"/>
        <v>0</v>
      </c>
      <c r="L33" s="12">
        <f t="shared" si="2"/>
        <v>1</v>
      </c>
    </row>
    <row r="34" ht="22.5" customHeight="1">
      <c r="A34" s="5">
        <v>33.0</v>
      </c>
      <c r="B34" s="14" t="s">
        <v>53</v>
      </c>
      <c r="C34" s="14" t="s">
        <v>79</v>
      </c>
      <c r="D34" s="8" t="s">
        <v>87</v>
      </c>
      <c r="E34" s="8" t="s">
        <v>69</v>
      </c>
      <c r="F34" s="8" t="s">
        <v>66</v>
      </c>
      <c r="G34" s="8" t="s">
        <v>88</v>
      </c>
      <c r="H34" s="15" t="s">
        <v>6</v>
      </c>
      <c r="I34" s="17">
        <v>0.0625</v>
      </c>
      <c r="J34" s="18">
        <v>0.0625</v>
      </c>
      <c r="K34" s="11">
        <f t="shared" si="1"/>
        <v>0</v>
      </c>
      <c r="L34" s="12">
        <f t="shared" si="2"/>
        <v>1</v>
      </c>
    </row>
    <row r="35" ht="22.5" customHeight="1">
      <c r="A35" s="8">
        <v>34.0</v>
      </c>
      <c r="B35" s="14" t="s">
        <v>53</v>
      </c>
      <c r="C35" s="14" t="s">
        <v>79</v>
      </c>
      <c r="D35" s="8" t="s">
        <v>77</v>
      </c>
      <c r="E35" s="8" t="s">
        <v>69</v>
      </c>
      <c r="F35" s="8" t="s">
        <v>66</v>
      </c>
      <c r="G35" s="8" t="s">
        <v>89</v>
      </c>
      <c r="H35" s="15" t="s">
        <v>6</v>
      </c>
      <c r="I35" s="17">
        <v>0.03125</v>
      </c>
      <c r="J35" s="20">
        <v>0.03125</v>
      </c>
      <c r="K35" s="11">
        <f t="shared" si="1"/>
        <v>0</v>
      </c>
      <c r="L35" s="12">
        <f t="shared" si="2"/>
        <v>1</v>
      </c>
    </row>
    <row r="36" ht="22.5" customHeight="1">
      <c r="A36" s="5">
        <v>35.0</v>
      </c>
      <c r="B36" s="14" t="s">
        <v>53</v>
      </c>
      <c r="C36" s="14" t="s">
        <v>79</v>
      </c>
      <c r="D36" s="8" t="s">
        <v>83</v>
      </c>
      <c r="E36" s="8" t="s">
        <v>36</v>
      </c>
      <c r="F36" s="8" t="s">
        <v>50</v>
      </c>
      <c r="G36" s="8" t="s">
        <v>90</v>
      </c>
      <c r="H36" s="15" t="s">
        <v>6</v>
      </c>
      <c r="I36" s="17">
        <v>0.020833333333333332</v>
      </c>
      <c r="J36" s="18">
        <v>0.020833333333333332</v>
      </c>
      <c r="K36" s="11">
        <f t="shared" si="1"/>
        <v>0</v>
      </c>
      <c r="L36" s="12">
        <f t="shared" si="2"/>
        <v>1</v>
      </c>
    </row>
    <row r="37" ht="22.5" customHeight="1">
      <c r="A37" s="8">
        <v>36.0</v>
      </c>
      <c r="B37" s="14" t="s">
        <v>91</v>
      </c>
      <c r="C37" s="14" t="s">
        <v>23</v>
      </c>
      <c r="D37" s="8" t="s">
        <v>24</v>
      </c>
      <c r="E37" s="8" t="s">
        <v>24</v>
      </c>
      <c r="F37" s="8" t="s">
        <v>28</v>
      </c>
      <c r="G37" s="8" t="s">
        <v>92</v>
      </c>
      <c r="H37" s="15" t="s">
        <v>3</v>
      </c>
      <c r="I37" s="17">
        <v>0.041666666666666664</v>
      </c>
      <c r="J37" s="20">
        <v>0.041666666666666664</v>
      </c>
      <c r="K37" s="11">
        <f t="shared" si="1"/>
        <v>0</v>
      </c>
      <c r="L37" s="12">
        <f t="shared" si="2"/>
        <v>1</v>
      </c>
    </row>
    <row r="38" ht="22.5" customHeight="1">
      <c r="A38" s="5">
        <v>37.0</v>
      </c>
      <c r="B38" s="14" t="s">
        <v>91</v>
      </c>
      <c r="C38" s="14" t="s">
        <v>23</v>
      </c>
      <c r="D38" s="8" t="s">
        <v>24</v>
      </c>
      <c r="E38" s="8" t="s">
        <v>31</v>
      </c>
      <c r="F38" s="8" t="s">
        <v>28</v>
      </c>
      <c r="G38" s="8" t="s">
        <v>93</v>
      </c>
      <c r="H38" s="15" t="s">
        <v>3</v>
      </c>
      <c r="I38" s="17">
        <v>0.08333333333333333</v>
      </c>
      <c r="J38" s="22">
        <v>0.08333333333333333</v>
      </c>
      <c r="K38" s="11">
        <f t="shared" si="1"/>
        <v>0</v>
      </c>
      <c r="L38" s="12">
        <f t="shared" si="2"/>
        <v>1</v>
      </c>
    </row>
    <row r="39" ht="22.5" customHeight="1">
      <c r="A39" s="8">
        <v>38.0</v>
      </c>
      <c r="B39" s="14" t="s">
        <v>91</v>
      </c>
      <c r="C39" s="14" t="s">
        <v>46</v>
      </c>
      <c r="D39" s="8" t="s">
        <v>94</v>
      </c>
      <c r="E39" s="8" t="s">
        <v>24</v>
      </c>
      <c r="F39" s="8" t="s">
        <v>50</v>
      </c>
      <c r="G39" s="8" t="s">
        <v>95</v>
      </c>
      <c r="H39" s="15" t="s">
        <v>3</v>
      </c>
      <c r="I39" s="17">
        <v>0.03125</v>
      </c>
      <c r="J39" s="20">
        <v>0.03125</v>
      </c>
      <c r="K39" s="11">
        <f t="shared" si="1"/>
        <v>0</v>
      </c>
      <c r="L39" s="12">
        <f t="shared" si="2"/>
        <v>1</v>
      </c>
    </row>
    <row r="40" ht="22.5" customHeight="1">
      <c r="A40" s="5">
        <v>39.0</v>
      </c>
      <c r="B40" s="14" t="s">
        <v>91</v>
      </c>
      <c r="C40" s="14" t="s">
        <v>33</v>
      </c>
      <c r="D40" s="8" t="s">
        <v>96</v>
      </c>
      <c r="E40" s="8" t="s">
        <v>36</v>
      </c>
      <c r="F40" s="8" t="s">
        <v>64</v>
      </c>
      <c r="G40" s="8" t="s">
        <v>97</v>
      </c>
      <c r="H40" s="15" t="s">
        <v>3</v>
      </c>
      <c r="I40" s="17">
        <v>0.041666666666666664</v>
      </c>
      <c r="J40" s="18">
        <v>0.041666666666666664</v>
      </c>
      <c r="K40" s="11">
        <f t="shared" si="1"/>
        <v>0</v>
      </c>
      <c r="L40" s="12">
        <f t="shared" si="2"/>
        <v>1</v>
      </c>
    </row>
    <row r="41" ht="22.5" customHeight="1">
      <c r="A41" s="8">
        <v>40.0</v>
      </c>
      <c r="B41" s="14" t="s">
        <v>91</v>
      </c>
      <c r="C41" s="14" t="s">
        <v>33</v>
      </c>
      <c r="D41" s="8" t="s">
        <v>96</v>
      </c>
      <c r="E41" s="8" t="s">
        <v>36</v>
      </c>
      <c r="F41" s="8" t="s">
        <v>66</v>
      </c>
      <c r="G41" s="8" t="s">
        <v>98</v>
      </c>
      <c r="H41" s="15" t="s">
        <v>8</v>
      </c>
      <c r="I41" s="17">
        <v>0.08333333333333333</v>
      </c>
      <c r="J41" s="20"/>
      <c r="K41" s="11">
        <f t="shared" si="1"/>
        <v>0.08333333333</v>
      </c>
      <c r="L41" s="12">
        <f t="shared" si="2"/>
        <v>0</v>
      </c>
    </row>
    <row r="42" ht="22.5" customHeight="1">
      <c r="A42" s="5">
        <v>41.0</v>
      </c>
      <c r="B42" s="14" t="s">
        <v>91</v>
      </c>
      <c r="C42" s="14" t="s">
        <v>74</v>
      </c>
      <c r="D42" s="8" t="s">
        <v>99</v>
      </c>
      <c r="E42" s="8" t="s">
        <v>69</v>
      </c>
      <c r="F42" s="8" t="s">
        <v>100</v>
      </c>
      <c r="G42" s="8" t="s">
        <v>101</v>
      </c>
      <c r="H42" s="15" t="s">
        <v>3</v>
      </c>
      <c r="I42" s="17">
        <v>0.041666666666666664</v>
      </c>
      <c r="J42" s="18">
        <v>0.041666666666666664</v>
      </c>
      <c r="K42" s="11">
        <f t="shared" si="1"/>
        <v>0</v>
      </c>
      <c r="L42" s="12">
        <f t="shared" si="2"/>
        <v>1</v>
      </c>
    </row>
    <row r="43" ht="22.5" customHeight="1">
      <c r="A43" s="8">
        <v>42.0</v>
      </c>
      <c r="B43" s="14" t="s">
        <v>91</v>
      </c>
      <c r="C43" s="14" t="s">
        <v>74</v>
      </c>
      <c r="D43" s="8" t="s">
        <v>99</v>
      </c>
      <c r="E43" s="8" t="s">
        <v>36</v>
      </c>
      <c r="F43" s="8" t="s">
        <v>100</v>
      </c>
      <c r="G43" s="8" t="s">
        <v>102</v>
      </c>
      <c r="H43" s="15" t="s">
        <v>3</v>
      </c>
      <c r="I43" s="17">
        <v>0.041666666666666664</v>
      </c>
      <c r="J43" s="20">
        <v>0.041666666666666664</v>
      </c>
      <c r="K43" s="11">
        <f t="shared" si="1"/>
        <v>0</v>
      </c>
      <c r="L43" s="12">
        <f t="shared" si="2"/>
        <v>1</v>
      </c>
    </row>
    <row r="44" ht="22.5" customHeight="1">
      <c r="A44" s="5">
        <v>43.0</v>
      </c>
      <c r="B44" s="23" t="s">
        <v>91</v>
      </c>
      <c r="C44" s="23" t="s">
        <v>74</v>
      </c>
      <c r="D44" s="8" t="s">
        <v>99</v>
      </c>
      <c r="E44" s="8" t="s">
        <v>69</v>
      </c>
      <c r="F44" s="8" t="s">
        <v>100</v>
      </c>
      <c r="G44" s="8" t="s">
        <v>103</v>
      </c>
      <c r="H44" s="15" t="s">
        <v>3</v>
      </c>
      <c r="I44" s="17">
        <v>0.041666666666666664</v>
      </c>
      <c r="J44" s="18">
        <v>0.041666666666666664</v>
      </c>
      <c r="K44" s="11">
        <f t="shared" si="1"/>
        <v>0</v>
      </c>
      <c r="L44" s="12">
        <f t="shared" si="2"/>
        <v>1</v>
      </c>
    </row>
    <row r="45" ht="22.5" customHeight="1">
      <c r="A45" s="8">
        <v>44.0</v>
      </c>
      <c r="B45" s="14" t="s">
        <v>91</v>
      </c>
      <c r="C45" s="14" t="s">
        <v>74</v>
      </c>
      <c r="D45" s="8" t="s">
        <v>104</v>
      </c>
      <c r="E45" s="8" t="s">
        <v>36</v>
      </c>
      <c r="F45" s="8" t="s">
        <v>100</v>
      </c>
      <c r="G45" s="8" t="s">
        <v>105</v>
      </c>
      <c r="H45" s="15" t="s">
        <v>3</v>
      </c>
      <c r="I45" s="17">
        <v>0.041666666666666664</v>
      </c>
      <c r="J45" s="20">
        <v>0.041666666666666664</v>
      </c>
      <c r="K45" s="11">
        <f t="shared" si="1"/>
        <v>0</v>
      </c>
      <c r="L45" s="12">
        <f t="shared" si="2"/>
        <v>1</v>
      </c>
    </row>
    <row r="46" ht="22.5" customHeight="1">
      <c r="A46" s="5">
        <v>45.0</v>
      </c>
      <c r="B46" s="14" t="s">
        <v>91</v>
      </c>
      <c r="C46" s="14" t="s">
        <v>74</v>
      </c>
      <c r="D46" s="8" t="s">
        <v>99</v>
      </c>
      <c r="E46" s="8" t="s">
        <v>69</v>
      </c>
      <c r="F46" s="8" t="s">
        <v>100</v>
      </c>
      <c r="G46" s="8" t="s">
        <v>106</v>
      </c>
      <c r="H46" s="15" t="s">
        <v>3</v>
      </c>
      <c r="I46" s="17">
        <v>0.041666666666666664</v>
      </c>
      <c r="J46" s="18">
        <v>0.041666666666666664</v>
      </c>
      <c r="K46" s="11">
        <f t="shared" si="1"/>
        <v>0</v>
      </c>
      <c r="L46" s="12">
        <f t="shared" si="2"/>
        <v>1</v>
      </c>
    </row>
    <row r="47" ht="22.5" customHeight="1">
      <c r="A47" s="8">
        <v>46.0</v>
      </c>
      <c r="B47" s="14" t="s">
        <v>91</v>
      </c>
      <c r="C47" s="14" t="s">
        <v>74</v>
      </c>
      <c r="D47" s="8" t="s">
        <v>87</v>
      </c>
      <c r="E47" s="8" t="s">
        <v>69</v>
      </c>
      <c r="F47" s="8" t="s">
        <v>100</v>
      </c>
      <c r="G47" s="8" t="s">
        <v>107</v>
      </c>
      <c r="H47" s="15" t="s">
        <v>3</v>
      </c>
      <c r="I47" s="17">
        <v>0.0625</v>
      </c>
      <c r="J47" s="20">
        <v>0.0625</v>
      </c>
      <c r="K47" s="11">
        <f t="shared" si="1"/>
        <v>0</v>
      </c>
      <c r="L47" s="12">
        <f t="shared" si="2"/>
        <v>1</v>
      </c>
    </row>
    <row r="48" ht="22.5" customHeight="1">
      <c r="A48" s="5">
        <v>47.0</v>
      </c>
      <c r="B48" s="14" t="s">
        <v>91</v>
      </c>
      <c r="C48" s="14" t="s">
        <v>74</v>
      </c>
      <c r="D48" s="8" t="s">
        <v>87</v>
      </c>
      <c r="E48" s="8" t="s">
        <v>69</v>
      </c>
      <c r="F48" s="8" t="s">
        <v>100</v>
      </c>
      <c r="G48" s="8" t="s">
        <v>108</v>
      </c>
      <c r="H48" s="15" t="s">
        <v>3</v>
      </c>
      <c r="I48" s="17">
        <v>0.041666666666666664</v>
      </c>
      <c r="J48" s="18">
        <v>0.041666666666666664</v>
      </c>
      <c r="K48" s="11">
        <f t="shared" si="1"/>
        <v>0</v>
      </c>
      <c r="L48" s="12">
        <f t="shared" si="2"/>
        <v>1</v>
      </c>
    </row>
    <row r="49" ht="22.5" customHeight="1">
      <c r="A49" s="8">
        <v>48.0</v>
      </c>
      <c r="B49" s="14" t="s">
        <v>91</v>
      </c>
      <c r="C49" s="14" t="s">
        <v>74</v>
      </c>
      <c r="D49" s="8" t="s">
        <v>24</v>
      </c>
      <c r="E49" s="8" t="s">
        <v>24</v>
      </c>
      <c r="F49" s="8" t="s">
        <v>109</v>
      </c>
      <c r="G49" s="8" t="s">
        <v>110</v>
      </c>
      <c r="H49" s="15" t="s">
        <v>3</v>
      </c>
      <c r="I49" s="17">
        <v>0.020833333333333332</v>
      </c>
      <c r="J49" s="20"/>
      <c r="K49" s="11">
        <f t="shared" si="1"/>
        <v>0.02083333333</v>
      </c>
      <c r="L49" s="12">
        <f t="shared" si="2"/>
        <v>0</v>
      </c>
    </row>
    <row r="50" ht="22.5" customHeight="1">
      <c r="A50" s="5">
        <v>49.0</v>
      </c>
      <c r="B50" s="14" t="s">
        <v>111</v>
      </c>
      <c r="C50" s="14" t="s">
        <v>23</v>
      </c>
      <c r="D50" s="8" t="s">
        <v>112</v>
      </c>
      <c r="E50" s="8" t="s">
        <v>31</v>
      </c>
      <c r="F50" s="8" t="s">
        <v>28</v>
      </c>
      <c r="G50" s="8" t="s">
        <v>113</v>
      </c>
      <c r="H50" s="15" t="s">
        <v>3</v>
      </c>
      <c r="I50" s="17">
        <v>0.020833333333333332</v>
      </c>
      <c r="J50" s="20">
        <v>0.020833333333333332</v>
      </c>
      <c r="K50" s="11">
        <f t="shared" si="1"/>
        <v>0</v>
      </c>
      <c r="L50" s="12">
        <f t="shared" si="2"/>
        <v>1</v>
      </c>
    </row>
    <row r="51" ht="22.5" customHeight="1">
      <c r="A51" s="8">
        <v>50.0</v>
      </c>
      <c r="B51" s="14" t="s">
        <v>111</v>
      </c>
      <c r="C51" s="14" t="s">
        <v>23</v>
      </c>
      <c r="D51" s="8" t="s">
        <v>112</v>
      </c>
      <c r="E51" s="8" t="s">
        <v>31</v>
      </c>
      <c r="F51" s="8" t="s">
        <v>100</v>
      </c>
      <c r="G51" s="8" t="s">
        <v>114</v>
      </c>
      <c r="H51" s="15" t="s">
        <v>6</v>
      </c>
      <c r="I51" s="17">
        <v>0.0625</v>
      </c>
      <c r="J51" s="18">
        <v>0.0625</v>
      </c>
      <c r="K51" s="11">
        <f t="shared" si="1"/>
        <v>0</v>
      </c>
      <c r="L51" s="12">
        <f t="shared" si="2"/>
        <v>1</v>
      </c>
    </row>
    <row r="52" ht="22.5" customHeight="1">
      <c r="A52" s="5">
        <v>51.0</v>
      </c>
      <c r="B52" s="14" t="s">
        <v>111</v>
      </c>
      <c r="C52" s="14" t="s">
        <v>46</v>
      </c>
      <c r="D52" s="8" t="s">
        <v>49</v>
      </c>
      <c r="E52" s="8" t="s">
        <v>36</v>
      </c>
      <c r="F52" s="8" t="s">
        <v>100</v>
      </c>
      <c r="G52" s="8" t="s">
        <v>115</v>
      </c>
      <c r="H52" s="15" t="s">
        <v>6</v>
      </c>
      <c r="I52" s="17">
        <v>0.020833333333333332</v>
      </c>
      <c r="J52" s="20">
        <v>0.020833333333333332</v>
      </c>
      <c r="K52" s="11">
        <f t="shared" si="1"/>
        <v>0</v>
      </c>
      <c r="L52" s="12">
        <f t="shared" si="2"/>
        <v>1</v>
      </c>
    </row>
    <row r="53" ht="22.5" customHeight="1">
      <c r="A53" s="8">
        <v>52.0</v>
      </c>
      <c r="B53" s="14" t="s">
        <v>111</v>
      </c>
      <c r="C53" s="14" t="s">
        <v>46</v>
      </c>
      <c r="D53" s="8" t="s">
        <v>49</v>
      </c>
      <c r="E53" s="8" t="s">
        <v>36</v>
      </c>
      <c r="F53" s="8" t="s">
        <v>100</v>
      </c>
      <c r="G53" s="8" t="s">
        <v>116</v>
      </c>
      <c r="H53" s="15" t="s">
        <v>6</v>
      </c>
      <c r="I53" s="17">
        <v>0.041666666666666664</v>
      </c>
      <c r="J53" s="18">
        <v>0.041666666666666664</v>
      </c>
      <c r="K53" s="11">
        <f t="shared" si="1"/>
        <v>0</v>
      </c>
      <c r="L53" s="12">
        <f t="shared" si="2"/>
        <v>1</v>
      </c>
    </row>
    <row r="54" ht="22.5" customHeight="1">
      <c r="A54" s="5">
        <v>53.0</v>
      </c>
      <c r="B54" s="14" t="s">
        <v>111</v>
      </c>
      <c r="C54" s="14" t="s">
        <v>46</v>
      </c>
      <c r="D54" s="8" t="s">
        <v>49</v>
      </c>
      <c r="E54" s="8" t="s">
        <v>36</v>
      </c>
      <c r="F54" s="8" t="s">
        <v>100</v>
      </c>
      <c r="G54" s="8" t="s">
        <v>117</v>
      </c>
      <c r="H54" s="15" t="s">
        <v>6</v>
      </c>
      <c r="I54" s="17">
        <v>0.020833333333333332</v>
      </c>
      <c r="J54" s="20">
        <v>0.020833333333333332</v>
      </c>
      <c r="K54" s="11">
        <f t="shared" si="1"/>
        <v>0</v>
      </c>
      <c r="L54" s="12">
        <f t="shared" si="2"/>
        <v>1</v>
      </c>
    </row>
    <row r="55" ht="22.5" customHeight="1">
      <c r="A55" s="8">
        <v>54.0</v>
      </c>
      <c r="B55" s="14" t="s">
        <v>111</v>
      </c>
      <c r="C55" s="14" t="s">
        <v>33</v>
      </c>
      <c r="D55" s="8" t="s">
        <v>99</v>
      </c>
      <c r="E55" s="8" t="s">
        <v>36</v>
      </c>
      <c r="F55" s="8" t="s">
        <v>64</v>
      </c>
      <c r="G55" s="8" t="s">
        <v>118</v>
      </c>
      <c r="H55" s="15" t="s">
        <v>8</v>
      </c>
      <c r="I55" s="17">
        <v>0.08333333333333333</v>
      </c>
      <c r="J55" s="22">
        <v>0.08333333333333333</v>
      </c>
      <c r="K55" s="9">
        <v>0.0</v>
      </c>
      <c r="L55" s="12">
        <f t="shared" si="2"/>
        <v>1</v>
      </c>
    </row>
    <row r="56" ht="22.5" customHeight="1">
      <c r="A56" s="5">
        <v>55.0</v>
      </c>
      <c r="B56" s="14" t="s">
        <v>111</v>
      </c>
      <c r="C56" s="14" t="s">
        <v>33</v>
      </c>
      <c r="D56" s="8" t="s">
        <v>99</v>
      </c>
      <c r="E56" s="8" t="s">
        <v>36</v>
      </c>
      <c r="F56" s="8" t="s">
        <v>64</v>
      </c>
      <c r="G56" s="8" t="s">
        <v>119</v>
      </c>
      <c r="H56" s="15" t="s">
        <v>8</v>
      </c>
      <c r="I56" s="17">
        <v>0.0625</v>
      </c>
      <c r="J56" s="19">
        <v>0.0625</v>
      </c>
      <c r="K56" s="9">
        <v>0.0</v>
      </c>
      <c r="L56" s="12">
        <f t="shared" si="2"/>
        <v>1</v>
      </c>
    </row>
    <row r="57" ht="22.5" customHeight="1">
      <c r="A57" s="8">
        <v>56.0</v>
      </c>
      <c r="B57" s="14" t="s">
        <v>111</v>
      </c>
      <c r="C57" s="14" t="s">
        <v>33</v>
      </c>
      <c r="D57" s="8" t="s">
        <v>99</v>
      </c>
      <c r="E57" s="8" t="s">
        <v>69</v>
      </c>
      <c r="F57" s="8" t="s">
        <v>100</v>
      </c>
      <c r="G57" s="8" t="s">
        <v>120</v>
      </c>
      <c r="H57" s="15" t="s">
        <v>8</v>
      </c>
      <c r="I57" s="17">
        <v>0.041666666666666664</v>
      </c>
      <c r="J57" s="22">
        <v>0.041666666666666664</v>
      </c>
      <c r="K57" s="11">
        <f t="shared" ref="K57:K62" si="3">I57-J57</f>
        <v>0</v>
      </c>
      <c r="L57" s="12">
        <f t="shared" si="2"/>
        <v>1</v>
      </c>
    </row>
    <row r="58" ht="22.5" customHeight="1">
      <c r="A58" s="5">
        <v>57.0</v>
      </c>
      <c r="B58" s="14" t="s">
        <v>111</v>
      </c>
      <c r="C58" s="14" t="s">
        <v>33</v>
      </c>
      <c r="D58" s="8" t="s">
        <v>99</v>
      </c>
      <c r="E58" s="8" t="s">
        <v>69</v>
      </c>
      <c r="F58" s="8" t="s">
        <v>100</v>
      </c>
      <c r="G58" s="8" t="s">
        <v>121</v>
      </c>
      <c r="H58" s="15" t="s">
        <v>8</v>
      </c>
      <c r="I58" s="17">
        <v>0.020833333333333332</v>
      </c>
      <c r="J58" s="20">
        <v>0.020833333333333332</v>
      </c>
      <c r="K58" s="11">
        <f t="shared" si="3"/>
        <v>0</v>
      </c>
      <c r="L58" s="12">
        <f t="shared" si="2"/>
        <v>1</v>
      </c>
    </row>
    <row r="59" ht="22.5" customHeight="1">
      <c r="A59" s="8">
        <v>58.0</v>
      </c>
      <c r="B59" s="14" t="s">
        <v>111</v>
      </c>
      <c r="C59" s="14" t="s">
        <v>79</v>
      </c>
      <c r="D59" s="8" t="s">
        <v>87</v>
      </c>
      <c r="E59" s="8" t="s">
        <v>69</v>
      </c>
      <c r="F59" s="8" t="s">
        <v>100</v>
      </c>
      <c r="G59" s="8" t="s">
        <v>122</v>
      </c>
      <c r="H59" s="15" t="s">
        <v>6</v>
      </c>
      <c r="I59" s="17">
        <v>0.041666666666666664</v>
      </c>
      <c r="J59" s="18">
        <v>0.041666666666666664</v>
      </c>
      <c r="K59" s="11">
        <f t="shared" si="3"/>
        <v>0</v>
      </c>
      <c r="L59" s="12">
        <f t="shared" si="2"/>
        <v>1</v>
      </c>
    </row>
    <row r="60" ht="22.5" customHeight="1">
      <c r="A60" s="5">
        <v>59.0</v>
      </c>
      <c r="B60" s="24" t="s">
        <v>111</v>
      </c>
      <c r="C60" s="24" t="s">
        <v>79</v>
      </c>
      <c r="D60" s="8" t="s">
        <v>87</v>
      </c>
      <c r="E60" s="25" t="s">
        <v>24</v>
      </c>
      <c r="F60" s="25" t="s">
        <v>100</v>
      </c>
      <c r="G60" s="25" t="s">
        <v>123</v>
      </c>
      <c r="H60" s="26" t="s">
        <v>6</v>
      </c>
      <c r="I60" s="27">
        <v>0.041666666666666664</v>
      </c>
      <c r="J60" s="20">
        <v>0.041666666666666664</v>
      </c>
      <c r="K60" s="11">
        <f t="shared" si="3"/>
        <v>0</v>
      </c>
      <c r="L60" s="12">
        <f t="shared" si="2"/>
        <v>1</v>
      </c>
    </row>
    <row r="61" ht="22.5" customHeight="1">
      <c r="A61" s="8">
        <v>60.0</v>
      </c>
      <c r="B61" s="14" t="s">
        <v>111</v>
      </c>
      <c r="C61" s="14" t="s">
        <v>79</v>
      </c>
      <c r="D61" s="8" t="s">
        <v>124</v>
      </c>
      <c r="E61" s="8" t="s">
        <v>36</v>
      </c>
      <c r="F61" s="8" t="s">
        <v>100</v>
      </c>
      <c r="G61" s="8" t="s">
        <v>125</v>
      </c>
      <c r="H61" s="15" t="s">
        <v>6</v>
      </c>
      <c r="I61" s="17">
        <v>0.041666666666666664</v>
      </c>
      <c r="J61" s="18">
        <v>0.041666666666666664</v>
      </c>
      <c r="K61" s="11">
        <f t="shared" si="3"/>
        <v>0</v>
      </c>
      <c r="L61" s="12">
        <f t="shared" si="2"/>
        <v>1</v>
      </c>
    </row>
    <row r="62" ht="22.5" customHeight="1">
      <c r="A62" s="5">
        <v>61.0</v>
      </c>
      <c r="B62" s="14" t="s">
        <v>111</v>
      </c>
      <c r="C62" s="14" t="s">
        <v>79</v>
      </c>
      <c r="D62" s="8" t="s">
        <v>99</v>
      </c>
      <c r="E62" s="8" t="s">
        <v>36</v>
      </c>
      <c r="F62" s="8" t="s">
        <v>100</v>
      </c>
      <c r="G62" s="8" t="s">
        <v>126</v>
      </c>
      <c r="H62" s="15" t="s">
        <v>6</v>
      </c>
      <c r="I62" s="17">
        <v>0.041666666666666664</v>
      </c>
      <c r="J62" s="28">
        <v>0.041666666666666664</v>
      </c>
      <c r="K62" s="11">
        <f t="shared" si="3"/>
        <v>0</v>
      </c>
      <c r="L62" s="12">
        <f t="shared" si="2"/>
        <v>1</v>
      </c>
    </row>
    <row r="66">
      <c r="I66" s="13"/>
    </row>
  </sheetData>
  <dataValidations>
    <dataValidation type="list" allowBlank="1" sqref="B2:B62">
      <formula1>"Mobile,Web,Conception,Base de donnée,API,Documentation"</formula1>
    </dataValidation>
    <dataValidation type="list" allowBlank="1" sqref="C2:C62">
      <formula1>"Module Authentification,Module Web,Module Carte,Logistique,Module Mobile"</formula1>
    </dataValidation>
    <dataValidation type="list" allowBlank="1" sqref="H2:H62">
      <formula1>#REF!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88"/>
    <col customWidth="1" min="3" max="3" width="18.5"/>
    <col customWidth="1" min="4" max="4" width="21.38"/>
  </cols>
  <sheetData>
    <row r="1" ht="22.5" customHeight="1">
      <c r="A1" s="29" t="s">
        <v>17</v>
      </c>
      <c r="B1" s="30" t="s">
        <v>127</v>
      </c>
      <c r="C1" s="31" t="s">
        <v>128</v>
      </c>
      <c r="D1" s="31" t="s">
        <v>129</v>
      </c>
    </row>
    <row r="2" ht="22.5" customHeight="1">
      <c r="A2" s="32" t="s">
        <v>3</v>
      </c>
      <c r="B2" s="33">
        <f>SUMIF(Todo[Qui], A2, Todo[Estimation])</f>
        <v>0.8055555556</v>
      </c>
      <c r="C2" s="33">
        <f>SUMIF(Todo[Qui], A2, Todo[Temps passé])</f>
        <v>0.7847222222</v>
      </c>
      <c r="D2" s="33">
        <f>SUMIF(Todo[Qui], A2, Todo[Reste à faire])</f>
        <v>0.02083333333</v>
      </c>
    </row>
    <row r="3" ht="22.5" customHeight="1">
      <c r="A3" s="32" t="s">
        <v>6</v>
      </c>
      <c r="B3" s="33">
        <f>SUMIF(Todo[Qui], A3, Todo[Estimation])</f>
        <v>0.6979166667</v>
      </c>
      <c r="C3" s="33">
        <f>SUMIF(Todo[Qui], A3, Todo[Temps passé])</f>
        <v>0.6979166667</v>
      </c>
      <c r="D3" s="33">
        <f>SUMIF(Todo[Qui], A3, Todo[Reste à faire])</f>
        <v>0</v>
      </c>
    </row>
    <row r="4" ht="22.5" customHeight="1">
      <c r="A4" s="34" t="s">
        <v>8</v>
      </c>
      <c r="B4" s="33">
        <f>SUMIF(Todo[Qui], A4, Todo[Estimation])</f>
        <v>0.5625</v>
      </c>
      <c r="C4" s="33">
        <f>SUMIF(Todo[Qui], A4, Todo[Temps passé])</f>
        <v>0.4791666667</v>
      </c>
      <c r="D4" s="33">
        <f>SUMIF(Todo[Qui], A4, Todo[Reste à faire])</f>
        <v>0.08333333333</v>
      </c>
    </row>
    <row r="5" ht="22.5" customHeight="1">
      <c r="A5" s="35" t="s">
        <v>130</v>
      </c>
      <c r="B5" s="36">
        <f t="shared" ref="B5:D5" si="1">SUM(B2:B4)</f>
        <v>2.065972222</v>
      </c>
      <c r="C5" s="36">
        <f t="shared" si="1"/>
        <v>1.961805556</v>
      </c>
      <c r="D5" s="36">
        <f t="shared" si="1"/>
        <v>0.1041666667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0.38"/>
    <col customWidth="1" min="3" max="3" width="21.25"/>
    <col customWidth="1" min="4" max="4" width="23.38"/>
    <col customWidth="1" min="5" max="5" width="19.38"/>
  </cols>
  <sheetData>
    <row r="1">
      <c r="A1" s="37" t="s">
        <v>131</v>
      </c>
      <c r="B1" s="37" t="s">
        <v>132</v>
      </c>
      <c r="C1" s="37" t="s">
        <v>133</v>
      </c>
      <c r="D1" s="37" t="s">
        <v>134</v>
      </c>
      <c r="E1" s="37" t="s">
        <v>135</v>
      </c>
    </row>
    <row r="2">
      <c r="A2" s="38">
        <f>SUM(Todo[Estimation])</f>
        <v>2.434027778</v>
      </c>
      <c r="B2" s="38">
        <f>SUM(Todo[Temps passé])</f>
        <v>2.329861111</v>
      </c>
      <c r="C2" s="38">
        <f>SUM(Todo[Reste à faire])</f>
        <v>0.1041666667</v>
      </c>
      <c r="D2" s="39">
        <f>(B2/(B2+C2))</f>
        <v>0.9572039943</v>
      </c>
      <c r="E2" s="40">
        <f>((B2+C2)-A2)/A2</f>
        <v>0</v>
      </c>
    </row>
    <row r="3">
      <c r="A3" s="41"/>
      <c r="B3" s="41"/>
      <c r="C3" s="42">
        <f>C2/60</f>
        <v>0.001736111111</v>
      </c>
      <c r="D3" s="43" t="s">
        <v>136</v>
      </c>
      <c r="E3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3.38"/>
  </cols>
  <sheetData>
    <row r="1" ht="22.5" customHeight="1">
      <c r="A1" s="44" t="s">
        <v>10</v>
      </c>
      <c r="B1" s="44" t="s">
        <v>137</v>
      </c>
      <c r="C1" s="45" t="s">
        <v>138</v>
      </c>
      <c r="D1" s="45" t="s">
        <v>139</v>
      </c>
      <c r="E1" s="46" t="s">
        <v>140</v>
      </c>
      <c r="F1" s="46" t="s">
        <v>141</v>
      </c>
      <c r="G1" s="46" t="s">
        <v>142</v>
      </c>
      <c r="H1" s="45" t="s">
        <v>143</v>
      </c>
      <c r="I1" s="45" t="s">
        <v>144</v>
      </c>
    </row>
    <row r="2" ht="22.5" customHeight="1">
      <c r="A2" s="47">
        <v>1.0</v>
      </c>
      <c r="B2" s="48">
        <f t="shared" ref="B2:B62" si="1">SUM(C2:P2)</f>
        <v>120</v>
      </c>
      <c r="C2" s="47">
        <v>15.0</v>
      </c>
      <c r="D2" s="47">
        <v>30.0</v>
      </c>
      <c r="E2" s="8"/>
      <c r="F2" s="8"/>
      <c r="G2" s="8"/>
      <c r="H2" s="8">
        <v>30.0</v>
      </c>
      <c r="I2" s="8">
        <v>45.0</v>
      </c>
    </row>
    <row r="3" ht="22.5" customHeight="1">
      <c r="A3" s="47">
        <v>2.0</v>
      </c>
      <c r="B3" s="48">
        <f t="shared" si="1"/>
        <v>60</v>
      </c>
      <c r="C3" s="47">
        <v>60.0</v>
      </c>
      <c r="D3" s="49"/>
    </row>
    <row r="4" ht="22.5" customHeight="1">
      <c r="A4" s="47">
        <v>3.0</v>
      </c>
      <c r="B4" s="48">
        <f t="shared" si="1"/>
        <v>20</v>
      </c>
      <c r="C4" s="47">
        <v>20.0</v>
      </c>
      <c r="D4" s="49"/>
    </row>
    <row r="5" ht="22.5" customHeight="1">
      <c r="A5" s="47">
        <v>4.0</v>
      </c>
      <c r="B5" s="48">
        <f t="shared" si="1"/>
        <v>40</v>
      </c>
      <c r="C5" s="47">
        <v>40.0</v>
      </c>
      <c r="D5" s="47"/>
    </row>
    <row r="6" ht="22.5" customHeight="1">
      <c r="A6" s="47">
        <v>5.0</v>
      </c>
      <c r="B6" s="48">
        <f t="shared" si="1"/>
        <v>60</v>
      </c>
      <c r="C6" s="47">
        <v>15.0</v>
      </c>
      <c r="D6" s="47">
        <v>45.0</v>
      </c>
    </row>
    <row r="7" ht="22.5" customHeight="1">
      <c r="A7" s="47">
        <v>6.0</v>
      </c>
      <c r="B7" s="48">
        <f t="shared" si="1"/>
        <v>120</v>
      </c>
      <c r="C7" s="49"/>
      <c r="D7" s="49"/>
      <c r="E7" s="8"/>
      <c r="F7" s="8"/>
      <c r="G7" s="8"/>
      <c r="H7" s="8">
        <v>60.0</v>
      </c>
      <c r="I7" s="8">
        <v>60.0</v>
      </c>
    </row>
    <row r="8" ht="22.5" customHeight="1">
      <c r="A8" s="47">
        <v>7.0</v>
      </c>
      <c r="B8" s="48">
        <f t="shared" si="1"/>
        <v>60</v>
      </c>
      <c r="C8" s="49"/>
      <c r="D8" s="47">
        <v>60.0</v>
      </c>
    </row>
    <row r="9" ht="22.5" customHeight="1">
      <c r="A9" s="47">
        <v>8.0</v>
      </c>
      <c r="B9" s="48">
        <f t="shared" si="1"/>
        <v>90</v>
      </c>
      <c r="C9" s="49"/>
      <c r="D9" s="47">
        <v>90.0</v>
      </c>
    </row>
    <row r="10" ht="22.5" customHeight="1">
      <c r="A10" s="47">
        <v>9.0</v>
      </c>
      <c r="B10" s="48">
        <f t="shared" si="1"/>
        <v>5</v>
      </c>
      <c r="C10" s="49"/>
      <c r="D10" s="47">
        <v>5.0</v>
      </c>
    </row>
    <row r="11" ht="22.5" customHeight="1">
      <c r="A11" s="47">
        <v>10.0</v>
      </c>
      <c r="B11" s="48">
        <f t="shared" si="1"/>
        <v>60</v>
      </c>
      <c r="C11" s="49"/>
      <c r="D11" s="47">
        <v>60.0</v>
      </c>
    </row>
    <row r="12" ht="22.5" customHeight="1">
      <c r="A12" s="47">
        <v>11.0</v>
      </c>
      <c r="B12" s="48">
        <f t="shared" si="1"/>
        <v>60</v>
      </c>
      <c r="C12" s="49"/>
      <c r="D12" s="47">
        <v>30.0</v>
      </c>
      <c r="E12" s="8"/>
      <c r="F12" s="8"/>
      <c r="G12" s="8"/>
      <c r="H12" s="8">
        <v>30.0</v>
      </c>
    </row>
    <row r="13" ht="22.5" customHeight="1">
      <c r="A13" s="47">
        <v>12.0</v>
      </c>
      <c r="B13" s="48">
        <f t="shared" si="1"/>
        <v>30</v>
      </c>
      <c r="C13" s="47">
        <v>30.0</v>
      </c>
      <c r="D13" s="49"/>
    </row>
    <row r="14" ht="22.5" customHeight="1">
      <c r="A14" s="47">
        <v>13.0</v>
      </c>
      <c r="B14" s="48">
        <f t="shared" si="1"/>
        <v>30</v>
      </c>
      <c r="C14" s="47">
        <v>30.0</v>
      </c>
      <c r="D14" s="49"/>
    </row>
    <row r="15" ht="22.5" customHeight="1">
      <c r="A15" s="47">
        <v>14.0</v>
      </c>
      <c r="B15" s="48">
        <f t="shared" si="1"/>
        <v>20</v>
      </c>
      <c r="C15" s="49"/>
      <c r="D15" s="47">
        <v>20.0</v>
      </c>
    </row>
    <row r="16" ht="22.5" customHeight="1">
      <c r="A16" s="47">
        <v>15.0</v>
      </c>
      <c r="B16" s="48">
        <f t="shared" si="1"/>
        <v>30</v>
      </c>
      <c r="C16" s="47">
        <v>30.0</v>
      </c>
      <c r="D16" s="49"/>
    </row>
    <row r="17" ht="22.5" customHeight="1">
      <c r="A17" s="47">
        <v>16.0</v>
      </c>
      <c r="B17" s="48">
        <f t="shared" si="1"/>
        <v>45</v>
      </c>
      <c r="C17" s="47">
        <v>45.0</v>
      </c>
      <c r="D17" s="49"/>
    </row>
    <row r="18" ht="22.5" customHeight="1">
      <c r="A18" s="47">
        <v>17.0</v>
      </c>
      <c r="B18" s="48">
        <f t="shared" si="1"/>
        <v>45</v>
      </c>
      <c r="C18" s="47">
        <v>45.0</v>
      </c>
      <c r="D18" s="49"/>
    </row>
    <row r="19" ht="22.5" customHeight="1">
      <c r="A19" s="47">
        <v>18.0</v>
      </c>
      <c r="B19" s="48">
        <f t="shared" si="1"/>
        <v>45</v>
      </c>
      <c r="C19" s="49"/>
      <c r="D19" s="47">
        <v>45.0</v>
      </c>
    </row>
    <row r="20" ht="22.5" customHeight="1">
      <c r="A20" s="47">
        <v>19.0</v>
      </c>
      <c r="B20" s="48">
        <f t="shared" si="1"/>
        <v>60</v>
      </c>
      <c r="C20" s="47">
        <v>60.0</v>
      </c>
      <c r="D20" s="47"/>
    </row>
    <row r="21" ht="22.5" customHeight="1">
      <c r="A21" s="47">
        <v>20.0</v>
      </c>
      <c r="B21" s="48">
        <f t="shared" si="1"/>
        <v>90</v>
      </c>
      <c r="C21" s="47">
        <v>60.0</v>
      </c>
      <c r="D21" s="47">
        <v>30.0</v>
      </c>
    </row>
    <row r="22" ht="22.5" customHeight="1">
      <c r="A22" s="47">
        <v>21.0</v>
      </c>
      <c r="B22" s="48">
        <f t="shared" si="1"/>
        <v>60</v>
      </c>
      <c r="C22" s="47">
        <v>60.0</v>
      </c>
      <c r="D22" s="49"/>
    </row>
    <row r="23" ht="22.5" customHeight="1">
      <c r="A23" s="47">
        <v>22.0</v>
      </c>
      <c r="B23" s="48">
        <f t="shared" si="1"/>
        <v>60</v>
      </c>
      <c r="C23" s="47">
        <v>60.0</v>
      </c>
      <c r="D23" s="49"/>
    </row>
    <row r="24" ht="22.5" customHeight="1">
      <c r="A24" s="47">
        <v>23.0</v>
      </c>
      <c r="B24" s="48">
        <f t="shared" si="1"/>
        <v>30</v>
      </c>
      <c r="C24" s="49"/>
      <c r="D24" s="47">
        <v>30.0</v>
      </c>
    </row>
    <row r="25" ht="22.5" customHeight="1">
      <c r="A25" s="47">
        <v>24.0</v>
      </c>
      <c r="B25" s="48">
        <f t="shared" si="1"/>
        <v>45</v>
      </c>
      <c r="C25" s="49"/>
      <c r="D25" s="47">
        <v>45.0</v>
      </c>
    </row>
    <row r="26" ht="22.5" customHeight="1">
      <c r="A26" s="47">
        <v>25.0</v>
      </c>
      <c r="B26" s="48">
        <f t="shared" si="1"/>
        <v>30</v>
      </c>
      <c r="C26" s="49"/>
      <c r="D26" s="47">
        <v>30.0</v>
      </c>
    </row>
    <row r="27" ht="22.5" customHeight="1">
      <c r="A27" s="47">
        <v>26.0</v>
      </c>
      <c r="B27" s="48">
        <f t="shared" si="1"/>
        <v>60</v>
      </c>
      <c r="C27" s="49"/>
      <c r="D27" s="47">
        <v>60.0</v>
      </c>
    </row>
    <row r="28" ht="22.5" customHeight="1">
      <c r="A28" s="47">
        <v>27.0</v>
      </c>
      <c r="B28" s="48">
        <f t="shared" si="1"/>
        <v>60</v>
      </c>
      <c r="C28" s="47">
        <v>30.0</v>
      </c>
      <c r="D28" s="47">
        <v>30.0</v>
      </c>
    </row>
    <row r="29" ht="22.5" customHeight="1">
      <c r="A29" s="47">
        <v>28.0</v>
      </c>
      <c r="B29" s="48">
        <f t="shared" si="1"/>
        <v>60</v>
      </c>
      <c r="C29" s="47">
        <v>60.0</v>
      </c>
      <c r="D29" s="49"/>
    </row>
    <row r="30" ht="22.5" customHeight="1">
      <c r="A30" s="47">
        <v>29.0</v>
      </c>
      <c r="B30" s="48">
        <f t="shared" si="1"/>
        <v>60</v>
      </c>
      <c r="C30" s="49"/>
      <c r="D30" s="49"/>
      <c r="F30" s="8"/>
      <c r="G30" s="8"/>
      <c r="H30" s="8">
        <v>60.0</v>
      </c>
    </row>
    <row r="31" ht="22.5" customHeight="1">
      <c r="A31" s="47">
        <v>30.0</v>
      </c>
      <c r="B31" s="48">
        <f t="shared" si="1"/>
        <v>30</v>
      </c>
      <c r="C31" s="49"/>
      <c r="D31" s="49"/>
      <c r="F31" s="8"/>
      <c r="G31" s="8"/>
      <c r="H31" s="8">
        <v>30.0</v>
      </c>
    </row>
    <row r="32" ht="22.5" customHeight="1">
      <c r="A32" s="47">
        <v>31.0</v>
      </c>
      <c r="B32" s="48">
        <f t="shared" si="1"/>
        <v>45</v>
      </c>
      <c r="C32" s="49"/>
      <c r="D32" s="49"/>
      <c r="F32" s="8"/>
      <c r="G32" s="8"/>
      <c r="H32" s="8">
        <v>45.0</v>
      </c>
    </row>
    <row r="33" ht="22.5" customHeight="1">
      <c r="A33" s="47">
        <v>32.0</v>
      </c>
      <c r="B33" s="48">
        <f t="shared" si="1"/>
        <v>60</v>
      </c>
      <c r="C33" s="49"/>
      <c r="D33" s="49"/>
      <c r="F33" s="8"/>
      <c r="G33" s="8"/>
      <c r="H33" s="8">
        <v>60.0</v>
      </c>
    </row>
    <row r="34" ht="22.5" customHeight="1">
      <c r="A34" s="47">
        <v>33.0</v>
      </c>
      <c r="B34" s="48">
        <f t="shared" si="1"/>
        <v>90</v>
      </c>
      <c r="C34" s="49"/>
      <c r="D34" s="49"/>
      <c r="F34" s="8"/>
      <c r="G34" s="8"/>
      <c r="H34" s="8">
        <v>90.0</v>
      </c>
    </row>
    <row r="35" ht="22.5" customHeight="1">
      <c r="A35" s="47">
        <v>34.0</v>
      </c>
      <c r="B35" s="48">
        <f t="shared" si="1"/>
        <v>45</v>
      </c>
      <c r="C35" s="49"/>
      <c r="D35" s="49"/>
      <c r="F35" s="8"/>
      <c r="G35" s="8"/>
      <c r="H35" s="8">
        <v>45.0</v>
      </c>
    </row>
    <row r="36" ht="22.5" customHeight="1">
      <c r="A36" s="47">
        <v>35.0</v>
      </c>
      <c r="B36" s="48">
        <f t="shared" si="1"/>
        <v>30</v>
      </c>
      <c r="C36" s="49"/>
      <c r="D36" s="49"/>
      <c r="F36" s="8"/>
      <c r="G36" s="8"/>
      <c r="H36" s="8">
        <v>30.0</v>
      </c>
    </row>
    <row r="37" ht="22.5" customHeight="1">
      <c r="A37" s="47">
        <v>36.0</v>
      </c>
      <c r="B37" s="48">
        <f t="shared" si="1"/>
        <v>60</v>
      </c>
      <c r="C37" s="47">
        <v>60.0</v>
      </c>
      <c r="D37" s="49"/>
      <c r="F37" s="8"/>
    </row>
    <row r="38" ht="22.5" customHeight="1">
      <c r="A38" s="47">
        <v>37.0</v>
      </c>
      <c r="B38" s="48">
        <f t="shared" si="1"/>
        <v>120</v>
      </c>
      <c r="C38" s="49"/>
      <c r="D38" s="49"/>
      <c r="I38" s="8">
        <v>120.0</v>
      </c>
    </row>
    <row r="39" ht="22.5" customHeight="1">
      <c r="A39" s="47">
        <v>38.0</v>
      </c>
      <c r="B39" s="48">
        <f t="shared" si="1"/>
        <v>45</v>
      </c>
      <c r="C39" s="49"/>
      <c r="D39" s="49"/>
      <c r="E39" s="8">
        <v>45.0</v>
      </c>
    </row>
    <row r="40" ht="22.5" customHeight="1">
      <c r="A40" s="47">
        <v>39.0</v>
      </c>
      <c r="B40" s="48">
        <f t="shared" si="1"/>
        <v>60</v>
      </c>
      <c r="C40" s="49"/>
      <c r="D40" s="49"/>
      <c r="E40" s="8">
        <v>60.0</v>
      </c>
    </row>
    <row r="41" ht="22.5" customHeight="1">
      <c r="A41" s="47">
        <v>40.0</v>
      </c>
      <c r="B41" s="48">
        <f t="shared" si="1"/>
        <v>0</v>
      </c>
      <c r="C41" s="49"/>
      <c r="D41" s="49"/>
    </row>
    <row r="42" ht="22.5" customHeight="1">
      <c r="A42" s="47">
        <v>41.0</v>
      </c>
      <c r="B42" s="48">
        <f t="shared" si="1"/>
        <v>60</v>
      </c>
      <c r="C42" s="49"/>
      <c r="D42" s="49"/>
      <c r="E42" s="8">
        <v>60.0</v>
      </c>
    </row>
    <row r="43" ht="22.5" customHeight="1">
      <c r="A43" s="47">
        <v>42.0</v>
      </c>
      <c r="B43" s="48">
        <f t="shared" si="1"/>
        <v>60</v>
      </c>
      <c r="C43" s="49"/>
      <c r="D43" s="49"/>
      <c r="E43" s="8">
        <v>60.0</v>
      </c>
    </row>
    <row r="44" ht="22.5" customHeight="1">
      <c r="A44" s="47">
        <v>43.0</v>
      </c>
      <c r="B44" s="48">
        <f t="shared" si="1"/>
        <v>60</v>
      </c>
      <c r="C44" s="49"/>
      <c r="D44" s="49"/>
      <c r="E44" s="8">
        <v>30.0</v>
      </c>
      <c r="F44" s="8">
        <v>30.0</v>
      </c>
    </row>
    <row r="45" ht="22.5" customHeight="1">
      <c r="A45" s="47">
        <v>44.0</v>
      </c>
      <c r="B45" s="48">
        <f t="shared" si="1"/>
        <v>60</v>
      </c>
      <c r="C45" s="49"/>
      <c r="D45" s="49"/>
      <c r="F45" s="8">
        <v>60.0</v>
      </c>
    </row>
    <row r="46" ht="22.5" customHeight="1">
      <c r="A46" s="47">
        <v>45.0</v>
      </c>
      <c r="B46" s="48">
        <f t="shared" si="1"/>
        <v>60</v>
      </c>
      <c r="C46" s="49"/>
      <c r="D46" s="49"/>
      <c r="F46" s="8">
        <v>60.0</v>
      </c>
    </row>
    <row r="47" ht="22.5" customHeight="1">
      <c r="A47" s="47">
        <v>46.0</v>
      </c>
      <c r="B47" s="48">
        <f t="shared" si="1"/>
        <v>150</v>
      </c>
      <c r="C47" s="49"/>
      <c r="D47" s="49"/>
      <c r="G47" s="8">
        <v>150.0</v>
      </c>
    </row>
    <row r="48" ht="22.5" customHeight="1">
      <c r="A48" s="47">
        <v>47.0</v>
      </c>
      <c r="B48" s="48">
        <f t="shared" si="1"/>
        <v>60</v>
      </c>
      <c r="C48" s="49"/>
      <c r="D48" s="49"/>
      <c r="G48" s="8">
        <v>60.0</v>
      </c>
    </row>
    <row r="49" ht="22.5" customHeight="1">
      <c r="A49" s="47">
        <v>48.0</v>
      </c>
      <c r="B49" s="48">
        <f t="shared" si="1"/>
        <v>0</v>
      </c>
      <c r="C49" s="49"/>
      <c r="D49" s="49"/>
    </row>
    <row r="50" ht="22.5" customHeight="1">
      <c r="A50" s="47">
        <v>49.0</v>
      </c>
      <c r="B50" s="48">
        <f t="shared" si="1"/>
        <v>30</v>
      </c>
      <c r="C50" s="47">
        <v>30.0</v>
      </c>
      <c r="D50" s="49"/>
    </row>
    <row r="51" ht="22.5" customHeight="1">
      <c r="A51" s="47">
        <v>50.0</v>
      </c>
      <c r="B51" s="48">
        <f t="shared" si="1"/>
        <v>90</v>
      </c>
      <c r="C51" s="49"/>
      <c r="D51" s="49"/>
      <c r="G51" s="8"/>
      <c r="H51" s="8">
        <v>90.0</v>
      </c>
    </row>
    <row r="52" ht="22.5" customHeight="1">
      <c r="A52" s="47">
        <v>51.0</v>
      </c>
      <c r="B52" s="48">
        <f t="shared" si="1"/>
        <v>30</v>
      </c>
      <c r="C52" s="49"/>
      <c r="D52" s="49"/>
      <c r="G52" s="8"/>
      <c r="H52" s="8">
        <v>30.0</v>
      </c>
    </row>
    <row r="53" ht="22.5" customHeight="1">
      <c r="A53" s="47">
        <v>52.0</v>
      </c>
      <c r="B53" s="48">
        <f t="shared" si="1"/>
        <v>60</v>
      </c>
      <c r="C53" s="49"/>
      <c r="D53" s="49"/>
      <c r="G53" s="8"/>
      <c r="H53" s="8">
        <v>60.0</v>
      </c>
    </row>
    <row r="54" ht="22.5" customHeight="1">
      <c r="A54" s="47">
        <v>53.0</v>
      </c>
      <c r="B54" s="48">
        <f t="shared" si="1"/>
        <v>30</v>
      </c>
      <c r="C54" s="49"/>
      <c r="D54" s="49"/>
      <c r="G54" s="8"/>
      <c r="H54" s="8">
        <v>30.0</v>
      </c>
    </row>
    <row r="55" ht="22.5" customHeight="1">
      <c r="A55" s="47">
        <v>54.0</v>
      </c>
      <c r="B55" s="48">
        <f t="shared" si="1"/>
        <v>120</v>
      </c>
      <c r="C55" s="49"/>
      <c r="D55" s="49"/>
      <c r="G55" s="8"/>
      <c r="H55" s="8">
        <v>60.0</v>
      </c>
      <c r="I55" s="8">
        <v>60.0</v>
      </c>
    </row>
    <row r="56" ht="22.5" customHeight="1">
      <c r="A56" s="47">
        <v>55.0</v>
      </c>
      <c r="B56" s="48">
        <f t="shared" si="1"/>
        <v>90</v>
      </c>
      <c r="C56" s="49"/>
      <c r="D56" s="49"/>
      <c r="G56" s="8"/>
      <c r="H56" s="8">
        <v>60.0</v>
      </c>
      <c r="I56" s="8">
        <v>30.0</v>
      </c>
    </row>
    <row r="57" ht="22.5" customHeight="1">
      <c r="A57" s="47">
        <v>56.0</v>
      </c>
      <c r="B57" s="48">
        <f t="shared" si="1"/>
        <v>60</v>
      </c>
      <c r="C57" s="49"/>
      <c r="D57" s="49"/>
      <c r="I57" s="8">
        <v>60.0</v>
      </c>
    </row>
    <row r="58" ht="22.5" customHeight="1">
      <c r="A58" s="47">
        <v>57.0</v>
      </c>
      <c r="B58" s="48">
        <f t="shared" si="1"/>
        <v>30</v>
      </c>
      <c r="C58" s="49"/>
      <c r="D58" s="49"/>
      <c r="I58" s="8">
        <v>30.0</v>
      </c>
    </row>
    <row r="59" ht="22.5" customHeight="1">
      <c r="A59" s="47">
        <v>58.0</v>
      </c>
      <c r="B59" s="48">
        <f t="shared" si="1"/>
        <v>60</v>
      </c>
      <c r="C59" s="49"/>
      <c r="D59" s="49"/>
      <c r="G59" s="8"/>
      <c r="H59" s="8">
        <v>60.0</v>
      </c>
    </row>
    <row r="60" ht="22.5" customHeight="1">
      <c r="A60" s="47">
        <v>59.0</v>
      </c>
      <c r="B60" s="48">
        <f t="shared" si="1"/>
        <v>60</v>
      </c>
      <c r="C60" s="49"/>
      <c r="D60" s="49"/>
      <c r="G60" s="25"/>
      <c r="H60" s="25">
        <v>60.0</v>
      </c>
    </row>
    <row r="61" ht="22.5" customHeight="1">
      <c r="A61" s="47">
        <v>60.0</v>
      </c>
      <c r="B61" s="48">
        <f t="shared" si="1"/>
        <v>60</v>
      </c>
      <c r="C61" s="49"/>
      <c r="D61" s="49"/>
      <c r="G61" s="8"/>
      <c r="H61" s="8">
        <v>60.0</v>
      </c>
    </row>
    <row r="62" ht="22.5" customHeight="1">
      <c r="A62" s="47">
        <v>61.0</v>
      </c>
      <c r="B62" s="48">
        <f t="shared" si="1"/>
        <v>60</v>
      </c>
      <c r="C62" s="49"/>
      <c r="D62" s="49"/>
      <c r="G62" s="8"/>
      <c r="H62" s="8">
        <v>60.0</v>
      </c>
    </row>
  </sheetData>
  <dataValidations>
    <dataValidation type="custom" allowBlank="1" showDropDown="1" sqref="A2:D6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